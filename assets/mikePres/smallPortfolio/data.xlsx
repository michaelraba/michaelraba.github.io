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dherrin_uky_edu/Documents/Courses/ME510_Spring_2025/Project/"/>
    </mc:Choice>
  </mc:AlternateContent>
  <xr:revisionPtr revIDLastSave="0" documentId="8_{6E39267F-CDC3-4841-B90D-D79E7853F8CE}" xr6:coauthVersionLast="47" xr6:coauthVersionMax="47" xr10:uidLastSave="{00000000-0000-0000-0000-000000000000}"/>
  <bookViews>
    <workbookView xWindow="-28920" yWindow="2220" windowWidth="29040" windowHeight="15720" activeTab="1" xr2:uid="{17216B7F-15B7-4BA5-A4FC-FC667FDF980C}"/>
  </bookViews>
  <sheets>
    <sheet name="Junk" sheetId="1" r:id="rId1"/>
    <sheet name="2025 May 5th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" i="2" l="1"/>
  <c r="BQ28" i="2"/>
  <c r="BQ27" i="2"/>
  <c r="BQ26" i="2"/>
  <c r="BQ25" i="2"/>
  <c r="BQ24" i="2"/>
  <c r="BQ23" i="2"/>
  <c r="BQ22" i="2"/>
  <c r="BQ21" i="2"/>
  <c r="BQ20" i="2"/>
  <c r="BQ19" i="2"/>
  <c r="BQ18" i="2"/>
  <c r="BQ17" i="2"/>
  <c r="BQ16" i="2"/>
  <c r="BQ15" i="2"/>
  <c r="BQ14" i="2"/>
  <c r="BQ13" i="2"/>
  <c r="BQ12" i="2"/>
  <c r="BQ11" i="2"/>
  <c r="BQ10" i="2"/>
  <c r="BQ9" i="2"/>
  <c r="BQ8" i="2"/>
  <c r="BQ7" i="2"/>
  <c r="BQ6" i="2"/>
  <c r="BQ5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16" i="2"/>
  <c r="BH15" i="2"/>
  <c r="BH14" i="2"/>
  <c r="BH13" i="2"/>
  <c r="BH12" i="2"/>
  <c r="BH11" i="2"/>
  <c r="BH10" i="2"/>
  <c r="BH9" i="2"/>
  <c r="BH8" i="2"/>
  <c r="BH7" i="2"/>
  <c r="BH6" i="2"/>
  <c r="BH5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5" i="2"/>
</calcChain>
</file>

<file path=xl/sharedStrings.xml><?xml version="1.0" encoding="utf-8"?>
<sst xmlns="http://schemas.openxmlformats.org/spreadsheetml/2006/main" count="71" uniqueCount="12">
  <si>
    <t>Hz</t>
  </si>
  <si>
    <t>dB</t>
  </si>
  <si>
    <t>AVG Power</t>
  </si>
  <si>
    <t>Insertion Loss</t>
  </si>
  <si>
    <t>Big Blue Madness</t>
  </si>
  <si>
    <t>Mighty Mouse</t>
  </si>
  <si>
    <t>Quik Tube</t>
  </si>
  <si>
    <t>The Attenuator</t>
  </si>
  <si>
    <t>The Decibilatator</t>
  </si>
  <si>
    <t>The Hush Puppy</t>
  </si>
  <si>
    <t>Baseline Straight Pipe</t>
  </si>
  <si>
    <t>The Blueberry Muffler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</si>
</sst>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A5AA-747C-477C-8DF4-4E0D0F7A67E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90BD-7954-4C24-9793-491ECB70DCDC}">
  <dimension ref="A1:BR28"/>
  <sheetViews>
    <sheetView tabSelected="1" workbookViewId="0">
      <selection activeCell="BA6" sqref="BA6"/>
    </sheetView>
  </sheetViews>
  <sheetFormatPr defaultRowHeight="15" x14ac:dyDescent="0.25"/>
  <cols>
    <col min="1" max="7" width="9.140625" style="1"/>
  </cols>
  <sheetData>
    <row r="1" spans="1:70" x14ac:dyDescent="0.25">
      <c r="A1" s="48" t="s">
        <v>10</v>
      </c>
      <c r="B1" s="49"/>
      <c r="C1" s="49"/>
      <c r="D1" s="49"/>
      <c r="E1" s="49"/>
      <c r="F1" s="49"/>
      <c r="G1" s="50"/>
      <c r="I1" s="42" t="s">
        <v>4</v>
      </c>
      <c r="J1" s="43"/>
      <c r="K1" s="43"/>
      <c r="L1" s="43"/>
      <c r="M1" s="43"/>
      <c r="N1" s="43"/>
      <c r="O1" s="43"/>
      <c r="P1" s="44"/>
      <c r="R1" s="36" t="s">
        <v>5</v>
      </c>
      <c r="S1" s="37"/>
      <c r="T1" s="37"/>
      <c r="U1" s="37"/>
      <c r="V1" s="37"/>
      <c r="W1" s="37"/>
      <c r="X1" s="37"/>
      <c r="Y1" s="38"/>
      <c r="AA1" s="30" t="s">
        <v>6</v>
      </c>
      <c r="AB1" s="31"/>
      <c r="AC1" s="31"/>
      <c r="AD1" s="31"/>
      <c r="AE1" s="31"/>
      <c r="AF1" s="31"/>
      <c r="AG1" s="31"/>
      <c r="AH1" s="32"/>
      <c r="AJ1" s="24" t="s">
        <v>7</v>
      </c>
      <c r="AK1" s="25"/>
      <c r="AL1" s="25"/>
      <c r="AM1" s="25"/>
      <c r="AN1" s="25"/>
      <c r="AO1" s="25"/>
      <c r="AP1" s="25"/>
      <c r="AQ1" s="26"/>
      <c r="AS1" s="18" t="s">
        <v>11</v>
      </c>
      <c r="AT1" s="19"/>
      <c r="AU1" s="19"/>
      <c r="AV1" s="19"/>
      <c r="AW1" s="19"/>
      <c r="AX1" s="19"/>
      <c r="AY1" s="19"/>
      <c r="AZ1" s="20"/>
      <c r="BB1" s="12" t="s">
        <v>8</v>
      </c>
      <c r="BC1" s="13"/>
      <c r="BD1" s="13"/>
      <c r="BE1" s="13"/>
      <c r="BF1" s="13"/>
      <c r="BG1" s="13"/>
      <c r="BH1" s="13"/>
      <c r="BI1" s="14"/>
      <c r="BK1" s="2" t="s">
        <v>9</v>
      </c>
      <c r="BL1" s="3"/>
      <c r="BM1" s="3"/>
      <c r="BN1" s="3"/>
      <c r="BO1" s="3"/>
      <c r="BP1" s="3"/>
      <c r="BQ1" s="3"/>
      <c r="BR1" s="4"/>
    </row>
    <row r="2" spans="1:70" ht="15.75" thickBot="1" x14ac:dyDescent="0.3">
      <c r="A2" s="51"/>
      <c r="B2" s="52"/>
      <c r="C2" s="52"/>
      <c r="D2" s="52"/>
      <c r="E2" s="52"/>
      <c r="F2" s="52"/>
      <c r="G2" s="53"/>
      <c r="I2" s="45"/>
      <c r="J2" s="46"/>
      <c r="K2" s="46"/>
      <c r="L2" s="46"/>
      <c r="M2" s="46"/>
      <c r="N2" s="46"/>
      <c r="O2" s="46"/>
      <c r="P2" s="47"/>
      <c r="R2" s="39"/>
      <c r="S2" s="40"/>
      <c r="T2" s="40"/>
      <c r="U2" s="40"/>
      <c r="V2" s="40"/>
      <c r="W2" s="40"/>
      <c r="X2" s="40"/>
      <c r="Y2" s="41"/>
      <c r="AA2" s="33"/>
      <c r="AB2" s="34"/>
      <c r="AC2" s="34"/>
      <c r="AD2" s="34"/>
      <c r="AE2" s="34"/>
      <c r="AF2" s="34"/>
      <c r="AG2" s="34"/>
      <c r="AH2" s="35"/>
      <c r="AJ2" s="27"/>
      <c r="AK2" s="28"/>
      <c r="AL2" s="28"/>
      <c r="AM2" s="28"/>
      <c r="AN2" s="28"/>
      <c r="AO2" s="28"/>
      <c r="AP2" s="28"/>
      <c r="AQ2" s="29"/>
      <c r="AS2" s="21"/>
      <c r="AT2" s="22"/>
      <c r="AU2" s="22"/>
      <c r="AV2" s="22"/>
      <c r="AW2" s="22"/>
      <c r="AX2" s="22"/>
      <c r="AY2" s="22"/>
      <c r="AZ2" s="23"/>
      <c r="BB2" s="15"/>
      <c r="BC2" s="16"/>
      <c r="BD2" s="16"/>
      <c r="BE2" s="16"/>
      <c r="BF2" s="16"/>
      <c r="BG2" s="16"/>
      <c r="BH2" s="16"/>
      <c r="BI2" s="17"/>
      <c r="BK2" s="5"/>
      <c r="BL2" s="6"/>
      <c r="BM2" s="6"/>
      <c r="BN2" s="6"/>
      <c r="BO2" s="6"/>
      <c r="BP2" s="6"/>
      <c r="BQ2" s="6"/>
      <c r="BR2" s="7"/>
    </row>
    <row r="3" spans="1:70" x14ac:dyDescent="0.25">
      <c r="A3" s="8" t="s">
        <v>0</v>
      </c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10" t="s">
        <v>2</v>
      </c>
      <c r="I3" s="8" t="s">
        <v>0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10" t="s">
        <v>2</v>
      </c>
      <c r="P3" s="10" t="s">
        <v>3</v>
      </c>
      <c r="R3" s="8" t="s">
        <v>0</v>
      </c>
      <c r="S3" s="8" t="s">
        <v>1</v>
      </c>
      <c r="T3" s="8" t="s">
        <v>1</v>
      </c>
      <c r="U3" s="8" t="s">
        <v>1</v>
      </c>
      <c r="V3" s="8" t="s">
        <v>1</v>
      </c>
      <c r="W3" s="8" t="s">
        <v>1</v>
      </c>
      <c r="X3" s="10" t="s">
        <v>2</v>
      </c>
      <c r="Y3" s="10" t="s">
        <v>3</v>
      </c>
      <c r="AA3" s="8" t="s">
        <v>0</v>
      </c>
      <c r="AB3" s="8" t="s">
        <v>1</v>
      </c>
      <c r="AC3" s="8" t="s">
        <v>1</v>
      </c>
      <c r="AD3" s="8" t="s">
        <v>1</v>
      </c>
      <c r="AE3" s="8" t="s">
        <v>1</v>
      </c>
      <c r="AF3" s="8" t="s">
        <v>1</v>
      </c>
      <c r="AG3" s="10" t="s">
        <v>2</v>
      </c>
      <c r="AH3" s="10" t="s">
        <v>3</v>
      </c>
      <c r="AJ3" s="8" t="s">
        <v>0</v>
      </c>
      <c r="AK3" s="8" t="s">
        <v>1</v>
      </c>
      <c r="AL3" s="8" t="s">
        <v>1</v>
      </c>
      <c r="AM3" s="8" t="s">
        <v>1</v>
      </c>
      <c r="AN3" s="8" t="s">
        <v>1</v>
      </c>
      <c r="AO3" s="8" t="s">
        <v>1</v>
      </c>
      <c r="AP3" s="10" t="s">
        <v>2</v>
      </c>
      <c r="AQ3" s="10" t="s">
        <v>3</v>
      </c>
      <c r="AS3" s="8" t="s">
        <v>0</v>
      </c>
      <c r="AT3" s="8" t="s">
        <v>1</v>
      </c>
      <c r="AU3" s="8" t="s">
        <v>1</v>
      </c>
      <c r="AV3" s="8" t="s">
        <v>1</v>
      </c>
      <c r="AW3" s="8" t="s">
        <v>1</v>
      </c>
      <c r="AX3" s="8" t="s">
        <v>1</v>
      </c>
      <c r="AY3" s="10" t="s">
        <v>2</v>
      </c>
      <c r="AZ3" s="10" t="s">
        <v>3</v>
      </c>
      <c r="BB3" s="8" t="s">
        <v>0</v>
      </c>
      <c r="BC3" s="8" t="s">
        <v>1</v>
      </c>
      <c r="BD3" s="8" t="s">
        <v>1</v>
      </c>
      <c r="BE3" s="8" t="s">
        <v>1</v>
      </c>
      <c r="BF3" s="8" t="s">
        <v>1</v>
      </c>
      <c r="BG3" s="8" t="s">
        <v>1</v>
      </c>
      <c r="BH3" s="10" t="s">
        <v>2</v>
      </c>
      <c r="BI3" s="10" t="s">
        <v>3</v>
      </c>
      <c r="BK3" s="8" t="s">
        <v>0</v>
      </c>
      <c r="BL3" s="8" t="s">
        <v>1</v>
      </c>
      <c r="BM3" s="8" t="s">
        <v>1</v>
      </c>
      <c r="BN3" s="8" t="s">
        <v>1</v>
      </c>
      <c r="BO3" s="8" t="s">
        <v>1</v>
      </c>
      <c r="BP3" s="8" t="s">
        <v>1</v>
      </c>
      <c r="BQ3" s="10" t="s">
        <v>2</v>
      </c>
      <c r="BR3" s="10" t="s">
        <v>3</v>
      </c>
    </row>
    <row r="4" spans="1:70" ht="15.75" thickBot="1" x14ac:dyDescent="0.3">
      <c r="A4" s="9"/>
      <c r="B4" s="9"/>
      <c r="C4" s="9"/>
      <c r="D4" s="9"/>
      <c r="E4" s="9"/>
      <c r="F4" s="9"/>
      <c r="G4" s="11"/>
      <c r="I4" s="9"/>
      <c r="J4" s="9"/>
      <c r="K4" s="9"/>
      <c r="L4" s="9"/>
      <c r="M4" s="9"/>
      <c r="N4" s="9"/>
      <c r="O4" s="11"/>
      <c r="P4" s="11"/>
      <c r="R4" s="9"/>
      <c r="S4" s="9"/>
      <c r="T4" s="9"/>
      <c r="U4" s="9"/>
      <c r="V4" s="9"/>
      <c r="W4" s="9"/>
      <c r="X4" s="11"/>
      <c r="Y4" s="11"/>
      <c r="AA4" s="9"/>
      <c r="AB4" s="9"/>
      <c r="AC4" s="9"/>
      <c r="AD4" s="9"/>
      <c r="AE4" s="9"/>
      <c r="AF4" s="9"/>
      <c r="AG4" s="11"/>
      <c r="AH4" s="11"/>
      <c r="AJ4" s="9"/>
      <c r="AK4" s="9"/>
      <c r="AL4" s="9"/>
      <c r="AM4" s="9"/>
      <c r="AN4" s="9"/>
      <c r="AO4" s="9"/>
      <c r="AP4" s="11"/>
      <c r="AQ4" s="11"/>
      <c r="AS4" s="9"/>
      <c r="AT4" s="9"/>
      <c r="AU4" s="9"/>
      <c r="AV4" s="9"/>
      <c r="AW4" s="9"/>
      <c r="AX4" s="9"/>
      <c r="AY4" s="11"/>
      <c r="AZ4" s="11"/>
      <c r="BB4" s="9"/>
      <c r="BC4" s="9"/>
      <c r="BD4" s="9"/>
      <c r="BE4" s="9"/>
      <c r="BF4" s="9"/>
      <c r="BG4" s="9"/>
      <c r="BH4" s="11"/>
      <c r="BI4" s="11"/>
      <c r="BK4" s="9"/>
      <c r="BL4" s="9"/>
      <c r="BM4" s="9"/>
      <c r="BN4" s="9"/>
      <c r="BO4" s="9"/>
      <c r="BP4" s="9"/>
      <c r="BQ4" s="11"/>
      <c r="BR4" s="11"/>
    </row>
    <row r="5" spans="1:70" x14ac:dyDescent="0.25">
      <c r="A5" s="1">
        <v>20</v>
      </c>
      <c r="B5" s="1">
        <v>30.933179658949999</v>
      </c>
      <c r="C5" s="1">
        <v>33.247994106470003</v>
      </c>
      <c r="D5" s="1">
        <v>34.518352896449997</v>
      </c>
      <c r="E5" s="1">
        <v>36.294808172609997</v>
      </c>
      <c r="F5" s="1">
        <v>35.624343932549998</v>
      </c>
      <c r="G5" s="1">
        <f>10*LOG10(0.2*((10^(B5/10))+(10^(C5/10))+(10^(D5/10))+(10^(E5/10))+(10^(F5/10)))) + (10*LOG10(4*PI()*1))</f>
        <v>45.492871814433215</v>
      </c>
      <c r="I5" s="1">
        <v>20</v>
      </c>
      <c r="J5">
        <v>30.57130875364</v>
      </c>
      <c r="K5">
        <v>31.673289395579999</v>
      </c>
      <c r="L5">
        <v>33.33327310576</v>
      </c>
      <c r="M5">
        <v>33.605606617580001</v>
      </c>
      <c r="N5">
        <v>33.56726097288</v>
      </c>
      <c r="O5" s="1">
        <f>10*LOG10(0.2*((10^(J5/10))+(10^(K5/10))+(10^(L5/10))+(10^(M5/10))+(10^(N5/10)))) + (10*LOG10(4*PI()*1))</f>
        <v>43.70239141311788</v>
      </c>
      <c r="P5" s="1"/>
      <c r="R5" s="1">
        <v>20</v>
      </c>
      <c r="S5">
        <v>31.968606289389999</v>
      </c>
      <c r="T5">
        <v>34.364564121020003</v>
      </c>
      <c r="U5">
        <v>37.766960936549999</v>
      </c>
      <c r="V5">
        <v>38.686321951060002</v>
      </c>
      <c r="W5">
        <v>38.852987741029999</v>
      </c>
      <c r="X5" s="1">
        <f>10*LOG10(0.2*((10^(S5/10))+(10^(T5/10))+(10^(U5/10))+(10^(V5/10))+(10^(W5/10)))) + (10*LOG10(4*PI()*1))</f>
        <v>48.04285359982012</v>
      </c>
      <c r="Y5" s="1"/>
      <c r="AA5" s="1">
        <v>20</v>
      </c>
      <c r="AB5">
        <v>27.295119886889999</v>
      </c>
      <c r="AC5">
        <v>28.298351916720001</v>
      </c>
      <c r="AD5">
        <v>30.425828962379999</v>
      </c>
      <c r="AE5">
        <v>31.295628392979999</v>
      </c>
      <c r="AF5">
        <v>31.731298763350001</v>
      </c>
      <c r="AG5" s="1">
        <f>10*LOG10(0.2*((10^(AB5/10))+(10^(AC5/10))+(10^(AD5/10))+(10^(AE5/10))+(10^(AF5/10)))) + (10*LOG10(4*PI()*1))</f>
        <v>41.122735486453436</v>
      </c>
      <c r="AH5" s="1"/>
      <c r="AJ5" s="1">
        <v>20</v>
      </c>
      <c r="AK5">
        <v>26.717878796419999</v>
      </c>
      <c r="AL5">
        <v>28.35179781878</v>
      </c>
      <c r="AM5">
        <v>32.791218021760002</v>
      </c>
      <c r="AN5">
        <v>34.666371284649998</v>
      </c>
      <c r="AO5">
        <v>35.046185235609997</v>
      </c>
      <c r="AP5" s="1">
        <f>10*LOG10(0.2*((10^(AK5/10))+(10^(AL5/10))+(10^(AM5/10))+(10^(AN5/10))+(10^(AO5/10)))) + (10*LOG10(4*PI()*1))</f>
        <v>43.630826771841924</v>
      </c>
      <c r="AQ5" s="1"/>
      <c r="AS5" s="1">
        <v>20</v>
      </c>
      <c r="AT5">
        <v>25.900454404560001</v>
      </c>
      <c r="AU5">
        <v>25.41242873258</v>
      </c>
      <c r="AV5">
        <v>29.44942062522</v>
      </c>
      <c r="AW5">
        <v>31.186685801340001</v>
      </c>
      <c r="AX5">
        <v>31.307753617100001</v>
      </c>
      <c r="AY5" s="1">
        <f>10*LOG10(0.2*((10^(AT5/10))+(10^(AU5/10))+(10^(AV5/10))+(10^(AW5/10))+(10^(AX5/10)))) + (10*LOG10(4*PI()*1))</f>
        <v>40.320226814285718</v>
      </c>
      <c r="AZ5" s="1"/>
      <c r="BB5" s="1">
        <v>20</v>
      </c>
      <c r="BC5">
        <v>25.82703357626</v>
      </c>
      <c r="BD5">
        <v>28.52395613641</v>
      </c>
      <c r="BE5">
        <v>31.668351169280001</v>
      </c>
      <c r="BF5">
        <v>33.304993600300001</v>
      </c>
      <c r="BG5">
        <v>33.618697313810003</v>
      </c>
      <c r="BH5" s="1">
        <f>10*LOG10(0.2*((10^(BC5/10))+(10^(BD5/10))+(10^(BE5/10))+(10^(BF5/10))+(10^(BG5/10)))) + (10*LOG10(4*PI()*1))</f>
        <v>42.455839560998754</v>
      </c>
      <c r="BI5" s="1"/>
      <c r="BK5" s="1">
        <v>20</v>
      </c>
      <c r="BL5">
        <v>31.257495102429999</v>
      </c>
      <c r="BM5">
        <v>32.789620659539999</v>
      </c>
      <c r="BN5">
        <v>34.908581780319999</v>
      </c>
      <c r="BO5">
        <v>36.100683391680001</v>
      </c>
      <c r="BP5">
        <v>36.360466810010003</v>
      </c>
      <c r="BQ5" s="1">
        <f>10*LOG10(0.2*((10^(BL5/10))+(10^(BM5/10))+(10^(BN5/10))+(10^(BO5/10))+(10^(BP5/10)))) + (10*LOG10(4*PI()*1))</f>
        <v>45.685367123500342</v>
      </c>
      <c r="BR5" s="1"/>
    </row>
    <row r="6" spans="1:70" x14ac:dyDescent="0.25">
      <c r="A6" s="1">
        <v>25</v>
      </c>
      <c r="B6" s="1">
        <v>26.966182680340001</v>
      </c>
      <c r="C6" s="1">
        <v>25.676272612849999</v>
      </c>
      <c r="D6" s="1">
        <v>32.137462522299998</v>
      </c>
      <c r="E6" s="1">
        <v>30.25695131394</v>
      </c>
      <c r="F6" s="1">
        <v>30.31146201868</v>
      </c>
      <c r="G6" s="1">
        <f t="shared" ref="G6:G28" si="0">10*LOG10(0.2*((10^(B6/10))+(10^(C6/10))+(10^(D6/10))+(10^(E6/10))+(10^(F6/10)))) + (10*LOG10(4*PI()*1))</f>
        <v>40.665680460217054</v>
      </c>
      <c r="I6" s="1">
        <v>25</v>
      </c>
      <c r="J6">
        <v>28.291111505669999</v>
      </c>
      <c r="K6">
        <v>25.475924635950001</v>
      </c>
      <c r="L6">
        <v>22.81007200849</v>
      </c>
      <c r="M6">
        <v>26.294984474629999</v>
      </c>
      <c r="N6">
        <v>27.937206131140002</v>
      </c>
      <c r="O6" s="1">
        <f t="shared" ref="O6:O28" si="1">10*LOG10(0.2*((10^(J6/10))+(10^(K6/10))+(10^(L6/10))+(10^(M6/10))+(10^(N6/10)))) + (10*LOG10(4*PI()*1))</f>
        <v>37.556010096482503</v>
      </c>
      <c r="P6" s="1"/>
      <c r="R6" s="1">
        <v>25</v>
      </c>
      <c r="S6">
        <v>27.903796489689999</v>
      </c>
      <c r="T6">
        <v>25.768337959989999</v>
      </c>
      <c r="U6">
        <v>20.645322164340001</v>
      </c>
      <c r="V6">
        <v>22.205178731810001</v>
      </c>
      <c r="W6">
        <v>23.635648939540001</v>
      </c>
      <c r="X6" s="1">
        <f t="shared" ref="X6:X28" si="2">10*LOG10(0.2*((10^(S6/10))+(10^(T6/10))+(10^(U6/10))+(10^(V6/10))+(10^(W6/10)))) + (10*LOG10(4*PI()*1))</f>
        <v>35.78558671953428</v>
      </c>
      <c r="Y6" s="1"/>
      <c r="AA6" s="1">
        <v>25</v>
      </c>
      <c r="AB6">
        <v>25.240688091589998</v>
      </c>
      <c r="AC6">
        <v>23.71708256834</v>
      </c>
      <c r="AD6">
        <v>22.31436254422</v>
      </c>
      <c r="AE6">
        <v>24.136261697679998</v>
      </c>
      <c r="AF6">
        <v>25.670409359240001</v>
      </c>
      <c r="AG6" s="1">
        <f t="shared" ref="AG6:AG28" si="3">10*LOG10(0.2*((10^(AB6/10))+(10^(AC6/10))+(10^(AD6/10))+(10^(AE6/10))+(10^(AF6/10)))) + (10*LOG10(4*PI()*1))</f>
        <v>35.363858917477955</v>
      </c>
      <c r="AH6" s="1"/>
      <c r="AJ6" s="1">
        <v>25</v>
      </c>
      <c r="AK6">
        <v>29.76920808201</v>
      </c>
      <c r="AL6">
        <v>27.946269876870002</v>
      </c>
      <c r="AM6">
        <v>27.541747448860001</v>
      </c>
      <c r="AN6">
        <v>29.718258422129999</v>
      </c>
      <c r="AO6">
        <v>29.88572977842</v>
      </c>
      <c r="AP6" s="1">
        <f t="shared" ref="AP6:AP28" si="4">10*LOG10(0.2*((10^(AK6/10))+(10^(AL6/10))+(10^(AM6/10))+(10^(AN6/10))+(10^(AO6/10)))) + (10*LOG10(4*PI()*1))</f>
        <v>40.077415748509594</v>
      </c>
      <c r="AQ6" s="1"/>
      <c r="AS6" s="1">
        <v>25</v>
      </c>
      <c r="AT6">
        <v>26.539283868769999</v>
      </c>
      <c r="AU6">
        <v>23.408481186229999</v>
      </c>
      <c r="AV6">
        <v>25.063089614390002</v>
      </c>
      <c r="AW6">
        <v>27.343427834530001</v>
      </c>
      <c r="AX6">
        <v>27.655738378799999</v>
      </c>
      <c r="AY6" s="1">
        <f t="shared" ref="AY6:AY28" si="5">10*LOG10(0.2*((10^(AT6/10))+(10^(AU6/10))+(10^(AV6/10))+(10^(AW6/10))+(10^(AX6/10)))) + (10*LOG10(4*PI()*1))</f>
        <v>37.257766674004912</v>
      </c>
      <c r="AZ6" s="1"/>
      <c r="BB6" s="1">
        <v>25</v>
      </c>
      <c r="BC6">
        <v>25.674752171529999</v>
      </c>
      <c r="BD6">
        <v>24.24262470035</v>
      </c>
      <c r="BE6">
        <v>24.95574442985</v>
      </c>
      <c r="BF6">
        <v>26.96853078058</v>
      </c>
      <c r="BG6">
        <v>27.346883079560001</v>
      </c>
      <c r="BH6" s="1">
        <f t="shared" ref="BH6:BH28" si="6">10*LOG10(0.2*((10^(BC6/10))+(10^(BD6/10))+(10^(BE6/10))+(10^(BF6/10))+(10^(BG6/10)))) + (10*LOG10(4*PI()*1))</f>
        <v>36.987553236816524</v>
      </c>
      <c r="BI6" s="1"/>
      <c r="BK6" s="1">
        <v>25</v>
      </c>
      <c r="BL6">
        <v>29.964604427499999</v>
      </c>
      <c r="BM6">
        <v>27.134090636780002</v>
      </c>
      <c r="BN6">
        <v>24.7700889031</v>
      </c>
      <c r="BO6">
        <v>27.688940903020001</v>
      </c>
      <c r="BP6">
        <v>28.912887625810001</v>
      </c>
      <c r="BQ6" s="1">
        <f t="shared" ref="BQ6:BQ28" si="7">10*LOG10(0.2*((10^(BL6/10))+(10^(BM6/10))+(10^(BN6/10))+(10^(BO6/10))+(10^(BP6/10)))) + (10*LOG10(4*PI()*1))</f>
        <v>39.01930039370793</v>
      </c>
      <c r="BR6" s="1"/>
    </row>
    <row r="7" spans="1:70" x14ac:dyDescent="0.25">
      <c r="A7" s="1">
        <v>31.5</v>
      </c>
      <c r="B7" s="1">
        <v>20.253329821059999</v>
      </c>
      <c r="C7" s="1">
        <v>19.108807603700001</v>
      </c>
      <c r="D7" s="1">
        <v>27.898127932689999</v>
      </c>
      <c r="E7" s="1">
        <v>19.483912224819999</v>
      </c>
      <c r="F7" s="1">
        <v>19.784400153989999</v>
      </c>
      <c r="G7" s="1">
        <f t="shared" si="0"/>
        <v>33.94880895002882</v>
      </c>
      <c r="I7" s="1">
        <v>31.5</v>
      </c>
      <c r="J7">
        <v>23.70917071621</v>
      </c>
      <c r="K7">
        <v>22.219824951900002</v>
      </c>
      <c r="L7">
        <v>19.062076310329999</v>
      </c>
      <c r="M7">
        <v>18.030971594450001</v>
      </c>
      <c r="N7">
        <v>18.688549802570002</v>
      </c>
      <c r="O7" s="1">
        <f t="shared" si="1"/>
        <v>31.924184979258779</v>
      </c>
      <c r="P7" s="1"/>
      <c r="R7" s="1">
        <v>31.5</v>
      </c>
      <c r="S7">
        <v>25.022948498150001</v>
      </c>
      <c r="T7">
        <v>23.596143162170002</v>
      </c>
      <c r="U7">
        <v>20.233465167929999</v>
      </c>
      <c r="V7">
        <v>19.854577445019999</v>
      </c>
      <c r="W7">
        <v>20.46195757832</v>
      </c>
      <c r="X7" s="1">
        <f t="shared" si="2"/>
        <v>33.34859332655806</v>
      </c>
      <c r="Y7" s="1"/>
      <c r="AA7" s="1">
        <v>31.5</v>
      </c>
      <c r="AB7">
        <v>23.783945444899999</v>
      </c>
      <c r="AC7">
        <v>22.882471729500001</v>
      </c>
      <c r="AD7">
        <v>21.82829469196</v>
      </c>
      <c r="AE7">
        <v>22.036969002660001</v>
      </c>
      <c r="AF7">
        <v>22.561662084849999</v>
      </c>
      <c r="AG7" s="1">
        <f t="shared" si="3"/>
        <v>33.667371811650469</v>
      </c>
      <c r="AH7" s="1"/>
      <c r="AJ7" s="1">
        <v>31.5</v>
      </c>
      <c r="AK7">
        <v>24.91933628084</v>
      </c>
      <c r="AL7">
        <v>23.702274057050001</v>
      </c>
      <c r="AM7">
        <v>19.20968819258</v>
      </c>
      <c r="AN7">
        <v>18.78557846675</v>
      </c>
      <c r="AO7">
        <v>19.50636315717</v>
      </c>
      <c r="AP7" s="1">
        <f t="shared" si="4"/>
        <v>32.9961071716086</v>
      </c>
      <c r="AQ7" s="1"/>
      <c r="AS7" s="1">
        <v>31.5</v>
      </c>
      <c r="AT7">
        <v>26.622867792089998</v>
      </c>
      <c r="AU7">
        <v>25.192779565679999</v>
      </c>
      <c r="AV7">
        <v>23.808456240489999</v>
      </c>
      <c r="AW7">
        <v>23.789500439129998</v>
      </c>
      <c r="AX7">
        <v>24.541723721810001</v>
      </c>
      <c r="AY7" s="1">
        <f t="shared" si="5"/>
        <v>35.917736713578989</v>
      </c>
      <c r="AZ7" s="1"/>
      <c r="BB7" s="1">
        <v>31.5</v>
      </c>
      <c r="BC7">
        <v>25.50711362609</v>
      </c>
      <c r="BD7">
        <v>24.18010428162</v>
      </c>
      <c r="BE7">
        <v>22.615416880600002</v>
      </c>
      <c r="BF7">
        <v>22.468552379950001</v>
      </c>
      <c r="BG7">
        <v>22.726719202710001</v>
      </c>
      <c r="BH7" s="1">
        <f t="shared" si="6"/>
        <v>34.660956791564573</v>
      </c>
      <c r="BI7" s="1"/>
      <c r="BK7" s="1">
        <v>31.5</v>
      </c>
      <c r="BL7">
        <v>24.558139951259999</v>
      </c>
      <c r="BM7">
        <v>23.868609638199999</v>
      </c>
      <c r="BN7">
        <v>22.597851084310001</v>
      </c>
      <c r="BO7">
        <v>22.760318976099999</v>
      </c>
      <c r="BP7">
        <v>22.909196314759999</v>
      </c>
      <c r="BQ7" s="1">
        <f t="shared" si="7"/>
        <v>34.398247261468597</v>
      </c>
      <c r="BR7" s="1"/>
    </row>
    <row r="8" spans="1:70" x14ac:dyDescent="0.25">
      <c r="A8" s="1">
        <v>40</v>
      </c>
      <c r="B8" s="1">
        <v>27.03335739988</v>
      </c>
      <c r="C8" s="1">
        <v>26.05455990906</v>
      </c>
      <c r="D8" s="1">
        <v>27.468116703300002</v>
      </c>
      <c r="E8" s="1">
        <v>24.79826408177</v>
      </c>
      <c r="F8" s="1">
        <v>25.25141445989</v>
      </c>
      <c r="G8" s="1">
        <f t="shared" si="0"/>
        <v>37.231552844937184</v>
      </c>
      <c r="I8" s="1">
        <v>40</v>
      </c>
      <c r="J8">
        <v>22.850621120970001</v>
      </c>
      <c r="K8">
        <v>21.400025592559999</v>
      </c>
      <c r="L8">
        <v>18.952824233899999</v>
      </c>
      <c r="M8">
        <v>18.521017571830001</v>
      </c>
      <c r="N8">
        <v>19.003322437280001</v>
      </c>
      <c r="O8" s="1">
        <f t="shared" si="1"/>
        <v>31.48447721361336</v>
      </c>
      <c r="P8" s="1"/>
      <c r="R8" s="1">
        <v>40</v>
      </c>
      <c r="S8">
        <v>23.32170273745</v>
      </c>
      <c r="T8">
        <v>22.447283028409998</v>
      </c>
      <c r="U8">
        <v>20.96057345474</v>
      </c>
      <c r="V8">
        <v>20.233610901190001</v>
      </c>
      <c r="W8">
        <v>18.924285575580001</v>
      </c>
      <c r="X8" s="1">
        <f t="shared" si="2"/>
        <v>32.446492517906094</v>
      </c>
      <c r="Y8" s="1"/>
      <c r="AA8" s="1">
        <v>40</v>
      </c>
      <c r="AB8">
        <v>23.853412184180002</v>
      </c>
      <c r="AC8">
        <v>21.87780072775</v>
      </c>
      <c r="AD8">
        <v>19.831156030620001</v>
      </c>
      <c r="AE8">
        <v>20.61620162514</v>
      </c>
      <c r="AF8">
        <v>21.300185633809999</v>
      </c>
      <c r="AG8" s="1">
        <f t="shared" si="3"/>
        <v>32.713906139717501</v>
      </c>
      <c r="AH8" s="1"/>
      <c r="AJ8" s="1">
        <v>40</v>
      </c>
      <c r="AK8">
        <v>25.769633543760001</v>
      </c>
      <c r="AL8">
        <v>25.53414028241</v>
      </c>
      <c r="AM8">
        <v>26.13239948875</v>
      </c>
      <c r="AN8">
        <v>27.04764817045</v>
      </c>
      <c r="AO8">
        <v>26.84512780403</v>
      </c>
      <c r="AP8" s="1">
        <f t="shared" si="4"/>
        <v>37.298269703798837</v>
      </c>
      <c r="AQ8" s="1"/>
      <c r="AS8" s="1">
        <v>40</v>
      </c>
      <c r="AT8">
        <v>25.149416435829998</v>
      </c>
      <c r="AU8">
        <v>24.192907162680001</v>
      </c>
      <c r="AV8">
        <v>23.106912883130001</v>
      </c>
      <c r="AW8">
        <v>22.461870496100001</v>
      </c>
      <c r="AX8">
        <v>22.791439273630001</v>
      </c>
      <c r="AY8" s="1">
        <f t="shared" si="5"/>
        <v>34.650113591837993</v>
      </c>
      <c r="AZ8" s="1"/>
      <c r="BB8" s="1">
        <v>40</v>
      </c>
      <c r="BC8">
        <v>26.569903495799998</v>
      </c>
      <c r="BD8">
        <v>26.156997045440001</v>
      </c>
      <c r="BE8">
        <v>25.677192527230002</v>
      </c>
      <c r="BF8">
        <v>25.20750017081</v>
      </c>
      <c r="BG8">
        <v>24.718460447689999</v>
      </c>
      <c r="BH8" s="1">
        <f t="shared" si="6"/>
        <v>36.707706233433441</v>
      </c>
      <c r="BI8" s="1"/>
      <c r="BK8" s="1">
        <v>40</v>
      </c>
      <c r="BL8">
        <v>25.995113954459999</v>
      </c>
      <c r="BM8">
        <v>24.636566762240001</v>
      </c>
      <c r="BN8">
        <v>22.717264038450001</v>
      </c>
      <c r="BO8">
        <v>21.779504191160001</v>
      </c>
      <c r="BP8">
        <v>20.830773662670001</v>
      </c>
      <c r="BQ8" s="1">
        <f t="shared" si="7"/>
        <v>34.598701101024275</v>
      </c>
      <c r="BR8" s="1"/>
    </row>
    <row r="9" spans="1:70" x14ac:dyDescent="0.25">
      <c r="A9" s="1">
        <v>50</v>
      </c>
      <c r="B9" s="1">
        <v>16.342747822789999</v>
      </c>
      <c r="C9" s="1">
        <v>17.073230231130001</v>
      </c>
      <c r="D9" s="1">
        <v>24.282868901840001</v>
      </c>
      <c r="E9" s="1">
        <v>20.248204645969999</v>
      </c>
      <c r="F9" s="1">
        <v>19.020333948619999</v>
      </c>
      <c r="G9" s="1">
        <f t="shared" si="0"/>
        <v>31.388872291142334</v>
      </c>
      <c r="I9" s="1">
        <v>50</v>
      </c>
      <c r="J9">
        <v>21.630676039130002</v>
      </c>
      <c r="K9">
        <v>21.178593662360001</v>
      </c>
      <c r="L9">
        <v>20.223296735640002</v>
      </c>
      <c r="M9">
        <v>19.94383968164</v>
      </c>
      <c r="N9">
        <v>18.948118051590001</v>
      </c>
      <c r="O9" s="1">
        <f t="shared" si="1"/>
        <v>31.478278925526919</v>
      </c>
      <c r="P9" s="1"/>
      <c r="R9" s="1">
        <v>50</v>
      </c>
      <c r="S9">
        <v>20.912284693909999</v>
      </c>
      <c r="T9">
        <v>21.349642187650002</v>
      </c>
      <c r="U9">
        <v>21.59230192351</v>
      </c>
      <c r="V9">
        <v>21.580307617350002</v>
      </c>
      <c r="W9">
        <v>20.93082439258</v>
      </c>
      <c r="X9" s="1">
        <f t="shared" si="2"/>
        <v>32.275468666452838</v>
      </c>
      <c r="Y9" s="1"/>
      <c r="AA9" s="1">
        <v>50</v>
      </c>
      <c r="AB9">
        <v>21.817606563190001</v>
      </c>
      <c r="AC9">
        <v>21.140018622300001</v>
      </c>
      <c r="AD9">
        <v>20.041505540660001</v>
      </c>
      <c r="AE9">
        <v>19.966037754039998</v>
      </c>
      <c r="AF9">
        <v>19.339022491550001</v>
      </c>
      <c r="AG9" s="1">
        <f t="shared" si="3"/>
        <v>31.546278261699783</v>
      </c>
      <c r="AH9" s="1"/>
      <c r="AJ9" s="1">
        <v>50</v>
      </c>
      <c r="AK9">
        <v>20.462950499920002</v>
      </c>
      <c r="AL9">
        <v>20.848893960040002</v>
      </c>
      <c r="AM9">
        <v>20.622573776319999</v>
      </c>
      <c r="AN9">
        <v>19.67926518246</v>
      </c>
      <c r="AO9">
        <v>18.363504706330001</v>
      </c>
      <c r="AP9" s="1">
        <f t="shared" si="4"/>
        <v>31.075844391335814</v>
      </c>
      <c r="AQ9" s="1"/>
      <c r="AS9" s="1">
        <v>50</v>
      </c>
      <c r="AT9">
        <v>21.85184027771</v>
      </c>
      <c r="AU9">
        <v>21.455114522980001</v>
      </c>
      <c r="AV9">
        <v>21.268862631449998</v>
      </c>
      <c r="AW9">
        <v>21.39731910663</v>
      </c>
      <c r="AX9">
        <v>21.144111723240002</v>
      </c>
      <c r="AY9" s="1">
        <f t="shared" si="5"/>
        <v>32.422252626545145</v>
      </c>
      <c r="AZ9" s="1"/>
      <c r="BB9" s="1">
        <v>50</v>
      </c>
      <c r="BC9">
        <v>19.100868217870001</v>
      </c>
      <c r="BD9">
        <v>19.003670221290001</v>
      </c>
      <c r="BE9">
        <v>18.741436124540002</v>
      </c>
      <c r="BF9">
        <v>18.51056243052</v>
      </c>
      <c r="BG9">
        <v>17.390024697889999</v>
      </c>
      <c r="BH9" s="1">
        <f t="shared" si="6"/>
        <v>29.582712105377741</v>
      </c>
      <c r="BI9" s="1"/>
      <c r="BK9" s="1">
        <v>50</v>
      </c>
      <c r="BL9">
        <v>18.475337212660001</v>
      </c>
      <c r="BM9">
        <v>18.310924965849999</v>
      </c>
      <c r="BN9">
        <v>17.95995592273</v>
      </c>
      <c r="BO9">
        <v>17.995898285039999</v>
      </c>
      <c r="BP9">
        <v>18.080923076200001</v>
      </c>
      <c r="BQ9" s="1">
        <f t="shared" si="7"/>
        <v>29.161236506482314</v>
      </c>
      <c r="BR9" s="1"/>
    </row>
    <row r="10" spans="1:70" x14ac:dyDescent="0.25">
      <c r="A10" s="1">
        <v>63</v>
      </c>
      <c r="B10" s="1">
        <v>17.557932157300002</v>
      </c>
      <c r="C10" s="1">
        <v>15.862945174069999</v>
      </c>
      <c r="D10" s="1">
        <v>19.201341409360001</v>
      </c>
      <c r="E10" s="1">
        <v>15.460608469929999</v>
      </c>
      <c r="F10" s="1">
        <v>17.657971414270001</v>
      </c>
      <c r="G10" s="1">
        <f t="shared" si="0"/>
        <v>28.351975032603072</v>
      </c>
      <c r="I10" s="1">
        <v>63</v>
      </c>
      <c r="J10">
        <v>19.731882859780001</v>
      </c>
      <c r="K10">
        <v>19.27965851199</v>
      </c>
      <c r="L10">
        <v>18.490855478699999</v>
      </c>
      <c r="M10">
        <v>18.780683994779999</v>
      </c>
      <c r="N10">
        <v>19.130951250359999</v>
      </c>
      <c r="O10" s="1">
        <f t="shared" si="1"/>
        <v>30.095784772270921</v>
      </c>
      <c r="P10" s="1"/>
      <c r="R10" s="1">
        <v>63</v>
      </c>
      <c r="S10">
        <v>20.257820350519999</v>
      </c>
      <c r="T10">
        <v>19.70268407355</v>
      </c>
      <c r="U10">
        <v>18.86729706361</v>
      </c>
      <c r="V10">
        <v>19.519039578360001</v>
      </c>
      <c r="W10">
        <v>19.526739550369999</v>
      </c>
      <c r="X10" s="1">
        <f t="shared" si="2"/>
        <v>30.589512917779544</v>
      </c>
      <c r="Y10" s="1"/>
      <c r="AA10" s="1">
        <v>63</v>
      </c>
      <c r="AB10">
        <v>18.095525461299999</v>
      </c>
      <c r="AC10">
        <v>17.996249505169999</v>
      </c>
      <c r="AD10">
        <v>18.395840679500001</v>
      </c>
      <c r="AE10">
        <v>19.920225543459999</v>
      </c>
      <c r="AF10">
        <v>20.807005558109999</v>
      </c>
      <c r="AG10" s="1">
        <f t="shared" si="3"/>
        <v>30.185573496178506</v>
      </c>
      <c r="AH10" s="1"/>
      <c r="AJ10" s="1">
        <v>63</v>
      </c>
      <c r="AK10">
        <v>22.812383670420001</v>
      </c>
      <c r="AL10">
        <v>23.316484978529999</v>
      </c>
      <c r="AM10">
        <v>23.258395948850001</v>
      </c>
      <c r="AN10">
        <v>23.003951098590001</v>
      </c>
      <c r="AO10">
        <v>22.687932921120002</v>
      </c>
      <c r="AP10" s="1">
        <f t="shared" si="4"/>
        <v>34.014789678259802</v>
      </c>
      <c r="AQ10" s="1"/>
      <c r="AS10" s="1">
        <v>63</v>
      </c>
      <c r="AT10">
        <v>22.089278201350002</v>
      </c>
      <c r="AU10">
        <v>21.958845671830002</v>
      </c>
      <c r="AV10">
        <v>21.617920290970002</v>
      </c>
      <c r="AW10">
        <v>22.26459099233</v>
      </c>
      <c r="AX10">
        <v>22.925564249699999</v>
      </c>
      <c r="AY10" s="1">
        <f t="shared" si="5"/>
        <v>33.185314696935563</v>
      </c>
      <c r="AZ10" s="1"/>
      <c r="BB10" s="1">
        <v>63</v>
      </c>
      <c r="BC10">
        <v>20.053197084450002</v>
      </c>
      <c r="BD10">
        <v>19.96396075262</v>
      </c>
      <c r="BE10">
        <v>19.92462579687</v>
      </c>
      <c r="BF10">
        <v>20.520923903740002</v>
      </c>
      <c r="BG10">
        <v>20.48225173781</v>
      </c>
      <c r="BH10" s="1">
        <f t="shared" si="6"/>
        <v>31.188855426239439</v>
      </c>
      <c r="BI10" s="1"/>
      <c r="BK10" s="1">
        <v>63</v>
      </c>
      <c r="BL10">
        <v>18.873342385490002</v>
      </c>
      <c r="BM10">
        <v>18.650775453400001</v>
      </c>
      <c r="BN10">
        <v>18.264076767879999</v>
      </c>
      <c r="BO10">
        <v>18.945329330370001</v>
      </c>
      <c r="BP10">
        <v>19.227923575609999</v>
      </c>
      <c r="BQ10" s="1">
        <f t="shared" si="7"/>
        <v>29.796217381153269</v>
      </c>
      <c r="BR10" s="1"/>
    </row>
    <row r="11" spans="1:70" x14ac:dyDescent="0.25">
      <c r="A11" s="1">
        <v>80</v>
      </c>
      <c r="B11" s="1">
        <v>18.969489512340001</v>
      </c>
      <c r="C11" s="1">
        <v>17.975084840409998</v>
      </c>
      <c r="D11" s="1">
        <v>19.802573594049999</v>
      </c>
      <c r="E11" s="1">
        <v>16.743509837929999</v>
      </c>
      <c r="F11" s="1">
        <v>17.279177122219998</v>
      </c>
      <c r="G11" s="1">
        <f t="shared" si="0"/>
        <v>29.289742990028319</v>
      </c>
      <c r="I11" s="1">
        <v>80</v>
      </c>
      <c r="J11">
        <v>17.18181174255</v>
      </c>
      <c r="K11">
        <v>16.915235678630001</v>
      </c>
      <c r="L11">
        <v>16.05649230385</v>
      </c>
      <c r="M11">
        <v>16.679554211319999</v>
      </c>
      <c r="N11">
        <v>16.267998944599999</v>
      </c>
      <c r="O11" s="1">
        <f t="shared" si="1"/>
        <v>27.631782252317343</v>
      </c>
      <c r="P11" s="1"/>
      <c r="R11" s="1">
        <v>80</v>
      </c>
      <c r="S11">
        <v>15.672879663430001</v>
      </c>
      <c r="T11">
        <v>15.672032428010001</v>
      </c>
      <c r="U11">
        <v>16.681651137220001</v>
      </c>
      <c r="V11">
        <v>18.556189823770001</v>
      </c>
      <c r="W11">
        <v>18.874548316870001</v>
      </c>
      <c r="X11" s="1">
        <f t="shared" si="2"/>
        <v>28.304781269171915</v>
      </c>
      <c r="Y11" s="1"/>
      <c r="AA11" s="1">
        <v>80</v>
      </c>
      <c r="AB11">
        <v>20.400495241430001</v>
      </c>
      <c r="AC11">
        <v>20.36887269472</v>
      </c>
      <c r="AD11">
        <v>17.47005456998</v>
      </c>
      <c r="AE11">
        <v>17.806793120959998</v>
      </c>
      <c r="AF11">
        <v>18.178488734390001</v>
      </c>
      <c r="AG11" s="1">
        <f t="shared" si="3"/>
        <v>30.028054858571384</v>
      </c>
      <c r="AH11" s="1"/>
      <c r="AJ11" s="1">
        <v>80</v>
      </c>
      <c r="AK11">
        <v>16.487137691649998</v>
      </c>
      <c r="AL11">
        <v>15.94711400091</v>
      </c>
      <c r="AM11">
        <v>14.69032271387</v>
      </c>
      <c r="AN11">
        <v>15.95879301373</v>
      </c>
      <c r="AO11">
        <v>16.091745223189999</v>
      </c>
      <c r="AP11" s="1">
        <f t="shared" si="4"/>
        <v>26.867119786134914</v>
      </c>
      <c r="AQ11" s="1"/>
      <c r="AS11" s="1">
        <v>80</v>
      </c>
      <c r="AT11">
        <v>18.039229203880002</v>
      </c>
      <c r="AU11">
        <v>17.567825287360002</v>
      </c>
      <c r="AV11">
        <v>17.55776253789</v>
      </c>
      <c r="AW11">
        <v>19.420028173199999</v>
      </c>
      <c r="AX11">
        <v>19.634207411329999</v>
      </c>
      <c r="AY11" s="1">
        <f t="shared" si="5"/>
        <v>29.531461800867728</v>
      </c>
      <c r="AZ11" s="1"/>
      <c r="BB11" s="1">
        <v>80</v>
      </c>
      <c r="BC11">
        <v>19.118821172160001</v>
      </c>
      <c r="BD11">
        <v>18.884372990429998</v>
      </c>
      <c r="BE11">
        <v>17.14253811643</v>
      </c>
      <c r="BF11">
        <v>17.334420092279998</v>
      </c>
      <c r="BG11">
        <v>17.077019216410001</v>
      </c>
      <c r="BH11" s="1">
        <f t="shared" si="6"/>
        <v>28.99815451068493</v>
      </c>
      <c r="BI11" s="1"/>
      <c r="BK11" s="1">
        <v>80</v>
      </c>
      <c r="BL11">
        <v>17.865443081980001</v>
      </c>
      <c r="BM11">
        <v>17.998673779360001</v>
      </c>
      <c r="BN11">
        <v>17.8912811792</v>
      </c>
      <c r="BO11">
        <v>17.981667449090001</v>
      </c>
      <c r="BP11">
        <v>17.321345272489999</v>
      </c>
      <c r="BQ11" s="1">
        <f t="shared" si="7"/>
        <v>28.810813118232023</v>
      </c>
      <c r="BR11" s="1"/>
    </row>
    <row r="12" spans="1:70" x14ac:dyDescent="0.25">
      <c r="A12" s="1">
        <v>100</v>
      </c>
      <c r="B12" s="1">
        <v>13.093288853740001</v>
      </c>
      <c r="C12" s="1">
        <v>14.37132124565</v>
      </c>
      <c r="D12" s="1">
        <v>19.086465143310001</v>
      </c>
      <c r="E12" s="1">
        <v>13.876899901850001</v>
      </c>
      <c r="F12" s="1">
        <v>12.50419136853</v>
      </c>
      <c r="G12" s="1">
        <f t="shared" si="0"/>
        <v>26.332202827602895</v>
      </c>
      <c r="I12" s="1">
        <v>100</v>
      </c>
      <c r="J12">
        <v>14.96507563167</v>
      </c>
      <c r="K12">
        <v>16.107051477420001</v>
      </c>
      <c r="L12">
        <v>15.90929006146</v>
      </c>
      <c r="M12">
        <v>14.73066004863</v>
      </c>
      <c r="N12">
        <v>13.304498926200001</v>
      </c>
      <c r="O12" s="1">
        <f t="shared" si="1"/>
        <v>26.105169166208221</v>
      </c>
      <c r="P12" s="1"/>
      <c r="R12" s="1">
        <v>100</v>
      </c>
      <c r="S12">
        <v>18.893240981470001</v>
      </c>
      <c r="T12">
        <v>19.56098076144</v>
      </c>
      <c r="U12">
        <v>19.40569143642</v>
      </c>
      <c r="V12">
        <v>18.79745618542</v>
      </c>
      <c r="W12">
        <v>17.879583331519999</v>
      </c>
      <c r="X12" s="1">
        <f t="shared" si="2"/>
        <v>29.938399867110682</v>
      </c>
      <c r="Y12" s="1"/>
      <c r="AA12" s="1">
        <v>100</v>
      </c>
      <c r="AB12">
        <v>11.98660742517</v>
      </c>
      <c r="AC12">
        <v>12.89612050126</v>
      </c>
      <c r="AD12">
        <v>14.017252033329999</v>
      </c>
      <c r="AE12">
        <v>13.17973951197</v>
      </c>
      <c r="AF12">
        <v>14.25006446529</v>
      </c>
      <c r="AG12" s="1">
        <f t="shared" si="3"/>
        <v>24.332749075470367</v>
      </c>
      <c r="AH12" s="1"/>
      <c r="AJ12" s="1">
        <v>100</v>
      </c>
      <c r="AK12">
        <v>9.9797054010780002</v>
      </c>
      <c r="AL12">
        <v>12.18777109879</v>
      </c>
      <c r="AM12">
        <v>13.077260301720001</v>
      </c>
      <c r="AN12">
        <v>11.649500235330001</v>
      </c>
      <c r="AO12">
        <v>10.28530566711</v>
      </c>
      <c r="AP12" s="1">
        <f t="shared" si="4"/>
        <v>22.582499599501006</v>
      </c>
      <c r="AQ12" s="1"/>
      <c r="AS12" s="1">
        <v>100</v>
      </c>
      <c r="AT12">
        <v>12.88411513634</v>
      </c>
      <c r="AU12">
        <v>13.506548394219999</v>
      </c>
      <c r="AV12">
        <v>14.35915195263</v>
      </c>
      <c r="AW12">
        <v>12.66824656799</v>
      </c>
      <c r="AX12">
        <v>10.133969926840001</v>
      </c>
      <c r="AY12" s="1">
        <f t="shared" si="5"/>
        <v>23.911609638838414</v>
      </c>
      <c r="AZ12" s="1"/>
      <c r="BB12" s="1">
        <v>100</v>
      </c>
      <c r="BC12">
        <v>10.768831067180001</v>
      </c>
      <c r="BD12">
        <v>12.240803733610001</v>
      </c>
      <c r="BE12">
        <v>12.88631171686</v>
      </c>
      <c r="BF12">
        <v>11.140820315019999</v>
      </c>
      <c r="BG12">
        <v>9.8040893051969995</v>
      </c>
      <c r="BH12" s="1">
        <f t="shared" si="6"/>
        <v>22.495938933366233</v>
      </c>
      <c r="BI12" s="1"/>
      <c r="BK12" s="1">
        <v>100</v>
      </c>
      <c r="BL12">
        <v>8.8185627660589994</v>
      </c>
      <c r="BM12">
        <v>11.27499728445</v>
      </c>
      <c r="BN12">
        <v>12.239092827009999</v>
      </c>
      <c r="BO12">
        <v>10.90980806572</v>
      </c>
      <c r="BP12">
        <v>9.4126340656439993</v>
      </c>
      <c r="BQ12" s="1">
        <f t="shared" si="7"/>
        <v>21.699265717325904</v>
      </c>
      <c r="BR12" s="1"/>
    </row>
    <row r="13" spans="1:70" x14ac:dyDescent="0.25">
      <c r="A13" s="1">
        <v>125</v>
      </c>
      <c r="B13" s="1">
        <v>22.153939952759998</v>
      </c>
      <c r="C13" s="1">
        <v>26.069531014030002</v>
      </c>
      <c r="D13" s="1">
        <v>29.835946983980001</v>
      </c>
      <c r="E13" s="1">
        <v>24.17781004779</v>
      </c>
      <c r="F13" s="1">
        <v>24.443518240229999</v>
      </c>
      <c r="G13" s="1">
        <f t="shared" si="0"/>
        <v>37.16535899927392</v>
      </c>
      <c r="I13" s="1">
        <v>125</v>
      </c>
      <c r="J13">
        <v>12.019060701520001</v>
      </c>
      <c r="K13">
        <v>12.41609185061</v>
      </c>
      <c r="L13">
        <v>14.898368558770001</v>
      </c>
      <c r="M13">
        <v>16.414445135179999</v>
      </c>
      <c r="N13">
        <v>16.110784828740002</v>
      </c>
      <c r="O13" s="1">
        <f t="shared" si="1"/>
        <v>25.731020154701156</v>
      </c>
      <c r="P13" s="1"/>
      <c r="R13" s="1">
        <v>125</v>
      </c>
      <c r="S13">
        <v>24.937731628449999</v>
      </c>
      <c r="T13">
        <v>25.311247542659999</v>
      </c>
      <c r="U13">
        <v>25.586100684960002</v>
      </c>
      <c r="V13">
        <v>27.32814628621</v>
      </c>
      <c r="W13">
        <v>27.858487556309999</v>
      </c>
      <c r="X13" s="1">
        <f t="shared" si="2"/>
        <v>37.356214679276988</v>
      </c>
      <c r="Y13" s="1"/>
      <c r="AA13" s="1">
        <v>125</v>
      </c>
      <c r="AB13">
        <v>19.915437709500001</v>
      </c>
      <c r="AC13">
        <v>21.759857738080001</v>
      </c>
      <c r="AD13">
        <v>23.885618679109999</v>
      </c>
      <c r="AE13">
        <v>24.986416606300001</v>
      </c>
      <c r="AF13">
        <v>24.92316543906</v>
      </c>
      <c r="AG13" s="1">
        <f t="shared" si="3"/>
        <v>34.489213664314136</v>
      </c>
      <c r="AH13" s="1"/>
      <c r="AJ13" s="1">
        <v>125</v>
      </c>
      <c r="AK13">
        <v>16.088983439250001</v>
      </c>
      <c r="AL13">
        <v>18.198444851920001</v>
      </c>
      <c r="AM13">
        <v>21.390323751250001</v>
      </c>
      <c r="AN13">
        <v>21.697895324299999</v>
      </c>
      <c r="AO13">
        <v>22.320122547810001</v>
      </c>
      <c r="AP13" s="1">
        <f t="shared" si="4"/>
        <v>31.506432965539037</v>
      </c>
      <c r="AQ13" s="1"/>
      <c r="AS13" s="1">
        <v>125</v>
      </c>
      <c r="AT13">
        <v>22.756432247879999</v>
      </c>
      <c r="AU13">
        <v>28.284582788200002</v>
      </c>
      <c r="AV13">
        <v>30.255898937689999</v>
      </c>
      <c r="AW13">
        <v>30.911935984900001</v>
      </c>
      <c r="AX13">
        <v>31.971374816409998</v>
      </c>
      <c r="AY13" s="1">
        <f t="shared" si="5"/>
        <v>40.752075495450214</v>
      </c>
      <c r="AZ13" s="1"/>
      <c r="BB13" s="1">
        <v>125</v>
      </c>
      <c r="BC13">
        <v>29.01364587014</v>
      </c>
      <c r="BD13">
        <v>33.35597154725</v>
      </c>
      <c r="BE13">
        <v>35.23327160633</v>
      </c>
      <c r="BF13">
        <v>33.183137837529998</v>
      </c>
      <c r="BG13">
        <v>32.91479128049</v>
      </c>
      <c r="BH13" s="1">
        <f t="shared" si="6"/>
        <v>44.146341957211945</v>
      </c>
      <c r="BI13" s="1"/>
      <c r="BK13" s="1">
        <v>125</v>
      </c>
      <c r="BL13">
        <v>24.614393200009999</v>
      </c>
      <c r="BM13">
        <v>24.342454828059999</v>
      </c>
      <c r="BN13">
        <v>25.647089920159999</v>
      </c>
      <c r="BO13">
        <v>27.576971240030002</v>
      </c>
      <c r="BP13">
        <v>27.415010618669999</v>
      </c>
      <c r="BQ13" s="1">
        <f t="shared" si="7"/>
        <v>37.124245383190811</v>
      </c>
      <c r="BR13" s="1"/>
    </row>
    <row r="14" spans="1:70" x14ac:dyDescent="0.25">
      <c r="A14" s="1">
        <v>160</v>
      </c>
      <c r="B14" s="1">
        <v>32.671489438450003</v>
      </c>
      <c r="C14" s="1">
        <v>33.095392329269998</v>
      </c>
      <c r="D14" s="1">
        <v>33.554581971269997</v>
      </c>
      <c r="E14" s="1">
        <v>31.109013374130001</v>
      </c>
      <c r="F14" s="1">
        <v>32.540443686769997</v>
      </c>
      <c r="G14" s="1">
        <f t="shared" si="0"/>
        <v>43.66022442513939</v>
      </c>
      <c r="I14" s="1">
        <v>160</v>
      </c>
      <c r="J14">
        <v>11.652972545180001</v>
      </c>
      <c r="K14">
        <v>11.88885371632</v>
      </c>
      <c r="L14">
        <v>10.91428207909</v>
      </c>
      <c r="M14">
        <v>8.5356995241040003</v>
      </c>
      <c r="N14">
        <v>10.149245533909999</v>
      </c>
      <c r="O14" s="1">
        <f t="shared" si="1"/>
        <v>21.777462633500058</v>
      </c>
      <c r="P14" s="1"/>
      <c r="R14" s="1">
        <v>160</v>
      </c>
      <c r="S14">
        <v>26.795361209719999</v>
      </c>
      <c r="T14">
        <v>27.107452392660001</v>
      </c>
      <c r="U14">
        <v>25.30680013632</v>
      </c>
      <c r="V14">
        <v>22.605591800599999</v>
      </c>
      <c r="W14">
        <v>24.122465796859998</v>
      </c>
      <c r="X14" s="1">
        <f t="shared" si="2"/>
        <v>36.486579068642797</v>
      </c>
      <c r="Y14" s="1"/>
      <c r="AA14" s="1">
        <v>160</v>
      </c>
      <c r="AB14">
        <v>20.471125332380002</v>
      </c>
      <c r="AC14">
        <v>22.517406441359999</v>
      </c>
      <c r="AD14">
        <v>24.23659424025</v>
      </c>
      <c r="AE14">
        <v>22.482566913420001</v>
      </c>
      <c r="AF14">
        <v>21.485817883540001</v>
      </c>
      <c r="AG14" s="1">
        <f t="shared" si="3"/>
        <v>33.413345273875663</v>
      </c>
      <c r="AH14" s="1"/>
      <c r="AJ14" s="1">
        <v>160</v>
      </c>
      <c r="AK14">
        <v>5.5567722660139998</v>
      </c>
      <c r="AL14">
        <v>4.709986723958</v>
      </c>
      <c r="AM14">
        <v>4.467720587334</v>
      </c>
      <c r="AN14">
        <v>4.4412077961829999</v>
      </c>
      <c r="AO14">
        <v>4.1250750113169996</v>
      </c>
      <c r="AP14" s="1">
        <f t="shared" si="4"/>
        <v>15.680326677115756</v>
      </c>
      <c r="AQ14" s="1"/>
      <c r="AS14" s="1">
        <v>160</v>
      </c>
      <c r="AT14">
        <v>19.082944736350001</v>
      </c>
      <c r="AU14">
        <v>20.034597271580001</v>
      </c>
      <c r="AV14">
        <v>19.814764500630002</v>
      </c>
      <c r="AW14">
        <v>18.186675919460001</v>
      </c>
      <c r="AX14">
        <v>18.757087640679998</v>
      </c>
      <c r="AY14" s="1">
        <f t="shared" si="5"/>
        <v>30.220054846687702</v>
      </c>
      <c r="AZ14" s="1"/>
      <c r="BB14" s="1">
        <v>160</v>
      </c>
      <c r="BC14">
        <v>11.105672644429999</v>
      </c>
      <c r="BD14">
        <v>9.1349509311010006</v>
      </c>
      <c r="BE14">
        <v>7.5885512504210002</v>
      </c>
      <c r="BF14">
        <v>6.2270444781869996</v>
      </c>
      <c r="BG14">
        <v>10.355949051890001</v>
      </c>
      <c r="BH14" s="1">
        <f t="shared" si="6"/>
        <v>20.22261341637579</v>
      </c>
      <c r="BI14" s="1"/>
      <c r="BK14" s="1">
        <v>160</v>
      </c>
      <c r="BL14">
        <v>17.324806780189999</v>
      </c>
      <c r="BM14">
        <v>17.715402126200001</v>
      </c>
      <c r="BN14">
        <v>16.938322918930002</v>
      </c>
      <c r="BO14">
        <v>14.79331373566</v>
      </c>
      <c r="BP14">
        <v>16.447273826730001</v>
      </c>
      <c r="BQ14" s="1">
        <f t="shared" si="7"/>
        <v>27.746192726981697</v>
      </c>
      <c r="BR14" s="1"/>
    </row>
    <row r="15" spans="1:70" x14ac:dyDescent="0.25">
      <c r="A15" s="1">
        <v>200</v>
      </c>
      <c r="B15" s="1">
        <v>42.296792947669999</v>
      </c>
      <c r="C15" s="1">
        <v>43.43483597438</v>
      </c>
      <c r="D15" s="1">
        <v>44.404583548010002</v>
      </c>
      <c r="E15" s="1">
        <v>43.075658710779997</v>
      </c>
      <c r="F15" s="1">
        <v>44.088126269850001</v>
      </c>
      <c r="G15" s="1">
        <f t="shared" si="0"/>
        <v>54.515163692971527</v>
      </c>
      <c r="I15" s="1">
        <v>200</v>
      </c>
      <c r="J15">
        <v>14.46396005117</v>
      </c>
      <c r="K15">
        <v>14.296849076519999</v>
      </c>
      <c r="L15">
        <v>14.62661998796</v>
      </c>
      <c r="M15">
        <v>14.977473450830001</v>
      </c>
      <c r="N15">
        <v>16.22633747279</v>
      </c>
      <c r="O15" s="1">
        <f t="shared" si="1"/>
        <v>25.968693562619698</v>
      </c>
      <c r="P15" s="1"/>
      <c r="R15" s="1">
        <v>200</v>
      </c>
      <c r="S15">
        <v>27.553095879240001</v>
      </c>
      <c r="T15">
        <v>27.013526070939999</v>
      </c>
      <c r="U15">
        <v>26.222668034950001</v>
      </c>
      <c r="V15">
        <v>25.220876250940002</v>
      </c>
      <c r="W15">
        <v>28.399815219339999</v>
      </c>
      <c r="X15" s="1">
        <f t="shared" si="2"/>
        <v>38.008794317842636</v>
      </c>
      <c r="Y15" s="1"/>
      <c r="AA15" s="1">
        <v>200</v>
      </c>
      <c r="AB15">
        <v>19.778455071509999</v>
      </c>
      <c r="AC15">
        <v>19.724894898670001</v>
      </c>
      <c r="AD15">
        <v>21.369201102070001</v>
      </c>
      <c r="AE15">
        <v>19.051864269740001</v>
      </c>
      <c r="AF15">
        <v>19.345025383660001</v>
      </c>
      <c r="AG15" s="1">
        <f t="shared" si="3"/>
        <v>30.925045258121777</v>
      </c>
      <c r="AH15" s="1"/>
      <c r="AJ15" s="1">
        <v>200</v>
      </c>
      <c r="AK15">
        <v>13.392856678659999</v>
      </c>
      <c r="AL15">
        <v>13.69230151442</v>
      </c>
      <c r="AM15">
        <v>12.77815839118</v>
      </c>
      <c r="AN15">
        <v>11.912594502879999</v>
      </c>
      <c r="AO15">
        <v>12.90948950043</v>
      </c>
      <c r="AP15" s="1">
        <f t="shared" si="4"/>
        <v>23.970827906936471</v>
      </c>
      <c r="AQ15" s="1"/>
      <c r="AS15" s="1">
        <v>200</v>
      </c>
      <c r="AT15">
        <v>17.832931908719999</v>
      </c>
      <c r="AU15">
        <v>19.37860671804</v>
      </c>
      <c r="AV15">
        <v>19.488695095850002</v>
      </c>
      <c r="AW15">
        <v>16.478516062840001</v>
      </c>
      <c r="AX15">
        <v>15.2915422428</v>
      </c>
      <c r="AY15" s="1">
        <f t="shared" si="5"/>
        <v>28.979196248137089</v>
      </c>
      <c r="AZ15" s="1"/>
      <c r="BB15" s="1">
        <v>200</v>
      </c>
      <c r="BC15">
        <v>11.667277851970001</v>
      </c>
      <c r="BD15">
        <v>10.836929641699999</v>
      </c>
      <c r="BE15">
        <v>9.3925686764769996</v>
      </c>
      <c r="BF15">
        <v>9.1323026124070008</v>
      </c>
      <c r="BG15">
        <v>11.893060891159999</v>
      </c>
      <c r="BH15" s="1">
        <f t="shared" si="6"/>
        <v>21.722132915315356</v>
      </c>
      <c r="BI15" s="1"/>
      <c r="BK15" s="1">
        <v>200</v>
      </c>
      <c r="BL15">
        <v>20.702530460390001</v>
      </c>
      <c r="BM15">
        <v>20.611628832009998</v>
      </c>
      <c r="BN15">
        <v>20.084907300819999</v>
      </c>
      <c r="BO15">
        <v>19.069252202329999</v>
      </c>
      <c r="BP15">
        <v>20.656887514560001</v>
      </c>
      <c r="BQ15" s="1">
        <f t="shared" si="7"/>
        <v>31.259020657922026</v>
      </c>
      <c r="BR15" s="1"/>
    </row>
    <row r="16" spans="1:70" x14ac:dyDescent="0.25">
      <c r="A16" s="1">
        <v>250</v>
      </c>
      <c r="B16" s="1">
        <v>38.88272599586</v>
      </c>
      <c r="C16" s="1">
        <v>40.105178019820002</v>
      </c>
      <c r="D16" s="1">
        <v>39.601309555980002</v>
      </c>
      <c r="E16" s="1">
        <v>39.29412342629</v>
      </c>
      <c r="F16" s="1">
        <v>39.346746163059997</v>
      </c>
      <c r="G16" s="1">
        <f t="shared" si="0"/>
        <v>50.456917454489997</v>
      </c>
      <c r="I16" s="1">
        <v>250</v>
      </c>
      <c r="J16">
        <v>23.823187269849999</v>
      </c>
      <c r="K16">
        <v>24.207391231500001</v>
      </c>
      <c r="L16">
        <v>24.226920680509998</v>
      </c>
      <c r="M16">
        <v>21.890735531899999</v>
      </c>
      <c r="N16">
        <v>20.455437245700001</v>
      </c>
      <c r="O16" s="1">
        <f t="shared" si="1"/>
        <v>34.151435493581133</v>
      </c>
      <c r="P16" s="1"/>
      <c r="R16" s="1">
        <v>250</v>
      </c>
      <c r="S16">
        <v>32.746690408980001</v>
      </c>
      <c r="T16">
        <v>33.170112463579997</v>
      </c>
      <c r="U16">
        <v>31.756183886460001</v>
      </c>
      <c r="V16">
        <v>29.460968723840001</v>
      </c>
      <c r="W16">
        <v>33.393951557320001</v>
      </c>
      <c r="X16" s="1">
        <f t="shared" si="2"/>
        <v>43.30860006877559</v>
      </c>
      <c r="Y16" s="1"/>
      <c r="AA16" s="1">
        <v>250</v>
      </c>
      <c r="AB16">
        <v>22.77081523383</v>
      </c>
      <c r="AC16">
        <v>22.434322958879999</v>
      </c>
      <c r="AD16">
        <v>23.322041904830002</v>
      </c>
      <c r="AE16">
        <v>22.457806160440001</v>
      </c>
      <c r="AF16">
        <v>23.330293087979999</v>
      </c>
      <c r="AG16" s="1">
        <f t="shared" si="3"/>
        <v>33.873312424534127</v>
      </c>
      <c r="AH16" s="1"/>
      <c r="AJ16" s="1">
        <v>250</v>
      </c>
      <c r="AK16">
        <v>20.216948315450001</v>
      </c>
      <c r="AL16">
        <v>23.833252356319999</v>
      </c>
      <c r="AM16">
        <v>26.319557211909999</v>
      </c>
      <c r="AN16">
        <v>25.035145329950002</v>
      </c>
      <c r="AO16">
        <v>23.487453881570001</v>
      </c>
      <c r="AP16" s="1">
        <f t="shared" si="4"/>
        <v>35.199501687868391</v>
      </c>
      <c r="AQ16" s="1"/>
      <c r="AS16" s="1">
        <v>250</v>
      </c>
      <c r="AT16">
        <v>13.287224706390001</v>
      </c>
      <c r="AU16">
        <v>15.14036757731</v>
      </c>
      <c r="AV16">
        <v>14.773099605280001</v>
      </c>
      <c r="AW16">
        <v>13.13647832072</v>
      </c>
      <c r="AX16">
        <v>10.285708992689999</v>
      </c>
      <c r="AY16" s="1">
        <f t="shared" si="5"/>
        <v>24.619222273793696</v>
      </c>
      <c r="AZ16" s="1"/>
      <c r="BB16" s="1">
        <v>250</v>
      </c>
      <c r="BC16">
        <v>16.225194585520001</v>
      </c>
      <c r="BD16">
        <v>16.12068526453</v>
      </c>
      <c r="BE16">
        <v>16.292378578289998</v>
      </c>
      <c r="BF16">
        <v>14.27326883956</v>
      </c>
      <c r="BG16">
        <v>13.172782852659999</v>
      </c>
      <c r="BH16" s="1">
        <f t="shared" si="6"/>
        <v>26.381799754384442</v>
      </c>
      <c r="BI16" s="1"/>
      <c r="BK16" s="1">
        <v>250</v>
      </c>
      <c r="BL16">
        <v>18.531545667530001</v>
      </c>
      <c r="BM16">
        <v>19.45002627201</v>
      </c>
      <c r="BN16">
        <v>19.116673965050001</v>
      </c>
      <c r="BO16">
        <v>17.89054295411</v>
      </c>
      <c r="BP16">
        <v>19.053287855050002</v>
      </c>
      <c r="BQ16" s="1">
        <f t="shared" si="7"/>
        <v>29.833826901640972</v>
      </c>
      <c r="BR16" s="1"/>
    </row>
    <row r="17" spans="1:70" x14ac:dyDescent="0.25">
      <c r="A17" s="1">
        <v>315</v>
      </c>
      <c r="B17" s="1">
        <v>40.171646423870001</v>
      </c>
      <c r="C17" s="1">
        <v>39.742241108279998</v>
      </c>
      <c r="D17" s="1">
        <v>38.893904941149998</v>
      </c>
      <c r="E17" s="1">
        <v>41.082962562699997</v>
      </c>
      <c r="F17" s="1">
        <v>39.82560409133</v>
      </c>
      <c r="G17" s="1">
        <f t="shared" si="0"/>
        <v>50.993569583516674</v>
      </c>
      <c r="I17" s="1">
        <v>315</v>
      </c>
      <c r="J17">
        <v>26.569587772270001</v>
      </c>
      <c r="K17">
        <v>27.382700949050001</v>
      </c>
      <c r="L17">
        <v>27.076262741139999</v>
      </c>
      <c r="M17">
        <v>25.100832084890001</v>
      </c>
      <c r="N17">
        <v>22.45465066545</v>
      </c>
      <c r="O17" s="1">
        <f t="shared" si="1"/>
        <v>37.036426549974621</v>
      </c>
      <c r="P17" s="1"/>
      <c r="R17" s="1">
        <v>315</v>
      </c>
      <c r="S17">
        <v>27.994808517820001</v>
      </c>
      <c r="T17">
        <v>26.189468257800002</v>
      </c>
      <c r="U17">
        <v>26.075130915999999</v>
      </c>
      <c r="V17">
        <v>24.541592134430001</v>
      </c>
      <c r="W17">
        <v>23.56438678068</v>
      </c>
      <c r="X17" s="1">
        <f t="shared" si="2"/>
        <v>36.931344265154635</v>
      </c>
      <c r="Y17" s="1"/>
      <c r="AA17" s="1">
        <v>315</v>
      </c>
      <c r="AB17">
        <v>25.823003043620002</v>
      </c>
      <c r="AC17">
        <v>24.782474080619998</v>
      </c>
      <c r="AD17">
        <v>30.537426580160002</v>
      </c>
      <c r="AE17">
        <v>30.74424935243</v>
      </c>
      <c r="AF17">
        <v>29.68923945285</v>
      </c>
      <c r="AG17" s="1">
        <f t="shared" si="3"/>
        <v>39.949186754484245</v>
      </c>
      <c r="AH17" s="1"/>
      <c r="AJ17" s="1">
        <v>315</v>
      </c>
      <c r="AK17">
        <v>25.307612465839998</v>
      </c>
      <c r="AL17">
        <v>29.674748220640002</v>
      </c>
      <c r="AM17">
        <v>34.142315564889998</v>
      </c>
      <c r="AN17">
        <v>33.292705249889998</v>
      </c>
      <c r="AO17">
        <v>31.390789921549999</v>
      </c>
      <c r="AP17" s="1">
        <f t="shared" si="4"/>
        <v>42.679829932185989</v>
      </c>
      <c r="AQ17" s="1"/>
      <c r="AS17" s="1">
        <v>315</v>
      </c>
      <c r="AT17">
        <v>18.404514717289999</v>
      </c>
      <c r="AU17">
        <v>17.831013862620001</v>
      </c>
      <c r="AV17">
        <v>20.88050238792</v>
      </c>
      <c r="AW17">
        <v>21.26259412117</v>
      </c>
      <c r="AX17">
        <v>18.841201592819999</v>
      </c>
      <c r="AY17" s="1">
        <f t="shared" si="5"/>
        <v>30.655758681939744</v>
      </c>
      <c r="AZ17" s="1"/>
      <c r="BB17" s="1">
        <v>315</v>
      </c>
      <c r="BC17">
        <v>22.60840417496</v>
      </c>
      <c r="BD17">
        <v>20.98398828485</v>
      </c>
      <c r="BE17">
        <v>22.843054878050001</v>
      </c>
      <c r="BF17">
        <v>23.92553970006</v>
      </c>
      <c r="BG17">
        <v>22.959040503440001</v>
      </c>
      <c r="BH17" s="1">
        <f t="shared" si="6"/>
        <v>33.755651686390458</v>
      </c>
      <c r="BI17" s="1"/>
      <c r="BK17" s="1">
        <v>315</v>
      </c>
      <c r="BL17">
        <v>21.309837110549999</v>
      </c>
      <c r="BM17">
        <v>21.735597824279999</v>
      </c>
      <c r="BN17">
        <v>22.224816007049998</v>
      </c>
      <c r="BO17">
        <v>21.756789138959999</v>
      </c>
      <c r="BP17">
        <v>20.430007846100001</v>
      </c>
      <c r="BQ17" s="1">
        <f t="shared" si="7"/>
        <v>32.524183085460962</v>
      </c>
      <c r="BR17" s="1"/>
    </row>
    <row r="18" spans="1:70" x14ac:dyDescent="0.25">
      <c r="A18" s="1">
        <v>400</v>
      </c>
      <c r="B18" s="1">
        <v>39.266643762640001</v>
      </c>
      <c r="C18" s="1">
        <v>38.488933222139998</v>
      </c>
      <c r="D18" s="1">
        <v>39.057591758309997</v>
      </c>
      <c r="E18" s="1">
        <v>37.684620446929998</v>
      </c>
      <c r="F18" s="1">
        <v>39.469431296860002</v>
      </c>
      <c r="G18" s="1">
        <f t="shared" si="0"/>
        <v>49.831509414864627</v>
      </c>
      <c r="I18" s="1">
        <v>400</v>
      </c>
      <c r="J18">
        <v>18.91603287813</v>
      </c>
      <c r="K18">
        <v>19.521988998849999</v>
      </c>
      <c r="L18">
        <v>13.881592543849999</v>
      </c>
      <c r="M18">
        <v>16.63678432563</v>
      </c>
      <c r="N18">
        <v>15.75006283876</v>
      </c>
      <c r="O18" s="1">
        <f t="shared" si="1"/>
        <v>28.405418664898029</v>
      </c>
      <c r="P18" s="1"/>
      <c r="R18" s="1">
        <v>400</v>
      </c>
      <c r="S18">
        <v>31.549847625160002</v>
      </c>
      <c r="T18">
        <v>34.090934272239998</v>
      </c>
      <c r="U18">
        <v>37.30310365103</v>
      </c>
      <c r="V18">
        <v>34.726826202600002</v>
      </c>
      <c r="W18">
        <v>28.86365579389</v>
      </c>
      <c r="X18" s="1">
        <f t="shared" si="2"/>
        <v>45.177534338166637</v>
      </c>
      <c r="Y18" s="1"/>
      <c r="AA18" s="1">
        <v>400</v>
      </c>
      <c r="AB18">
        <v>34.633769877479999</v>
      </c>
      <c r="AC18">
        <v>36.022632747289997</v>
      </c>
      <c r="AD18">
        <v>35.00185929789</v>
      </c>
      <c r="AE18">
        <v>34.338396524140002</v>
      </c>
      <c r="AF18">
        <v>32.135935098680001</v>
      </c>
      <c r="AG18" s="1">
        <f t="shared" si="3"/>
        <v>45.592885623952412</v>
      </c>
      <c r="AH18" s="1"/>
      <c r="AJ18" s="1">
        <v>400</v>
      </c>
      <c r="AK18">
        <v>35.735082338300003</v>
      </c>
      <c r="AL18">
        <v>35.093178228760003</v>
      </c>
      <c r="AM18">
        <v>42.838624258069999</v>
      </c>
      <c r="AN18">
        <v>44.995537263119999</v>
      </c>
      <c r="AO18">
        <v>40.915174772829999</v>
      </c>
      <c r="AP18" s="1">
        <f t="shared" si="4"/>
        <v>52.461883996388863</v>
      </c>
      <c r="AQ18" s="1"/>
      <c r="AS18" s="1">
        <v>400</v>
      </c>
      <c r="AT18">
        <v>23.847619732079998</v>
      </c>
      <c r="AU18">
        <v>25.599131185249998</v>
      </c>
      <c r="AV18">
        <v>23.261278080939999</v>
      </c>
      <c r="AW18">
        <v>21.450390233019998</v>
      </c>
      <c r="AX18">
        <v>23.92833046626</v>
      </c>
      <c r="AY18" s="1">
        <f t="shared" si="5"/>
        <v>34.809236010488554</v>
      </c>
      <c r="AZ18" s="1"/>
      <c r="BB18" s="1">
        <v>400</v>
      </c>
      <c r="BC18">
        <v>25.975144291780001</v>
      </c>
      <c r="BD18">
        <v>24.377984330379999</v>
      </c>
      <c r="BE18">
        <v>26.389578985229999</v>
      </c>
      <c r="BF18">
        <v>28.791635226309999</v>
      </c>
      <c r="BG18">
        <v>29.74965485813</v>
      </c>
      <c r="BH18" s="1">
        <f t="shared" si="6"/>
        <v>38.483954424402356</v>
      </c>
      <c r="BI18" s="1"/>
      <c r="BK18" s="1">
        <v>400</v>
      </c>
      <c r="BL18">
        <v>26.136875216819998</v>
      </c>
      <c r="BM18">
        <v>28.697232534689999</v>
      </c>
      <c r="BN18">
        <v>27.128328337669998</v>
      </c>
      <c r="BO18">
        <v>24.4436723112</v>
      </c>
      <c r="BP18">
        <v>25.644538939410001</v>
      </c>
      <c r="BQ18" s="1">
        <f t="shared" si="7"/>
        <v>37.64403637204795</v>
      </c>
      <c r="BR18" s="1"/>
    </row>
    <row r="19" spans="1:70" x14ac:dyDescent="0.25">
      <c r="A19" s="1">
        <v>500</v>
      </c>
      <c r="B19" s="1">
        <v>56.38250207518</v>
      </c>
      <c r="C19" s="1">
        <v>56.931428064009999</v>
      </c>
      <c r="D19" s="1">
        <v>56.412934042549999</v>
      </c>
      <c r="E19" s="1">
        <v>56.499180849230001</v>
      </c>
      <c r="F19" s="1">
        <v>55.784489140749997</v>
      </c>
      <c r="G19" s="1">
        <f t="shared" si="0"/>
        <v>67.409511585576283</v>
      </c>
      <c r="I19" s="1">
        <v>500</v>
      </c>
      <c r="J19">
        <v>31.68592344688</v>
      </c>
      <c r="K19">
        <v>28.55530498553</v>
      </c>
      <c r="L19">
        <v>26.759043756210001</v>
      </c>
      <c r="M19">
        <v>25.83238398029</v>
      </c>
      <c r="N19">
        <v>27.73380528154</v>
      </c>
      <c r="O19" s="1">
        <f t="shared" si="1"/>
        <v>39.615748305236849</v>
      </c>
      <c r="P19" s="1"/>
      <c r="R19" s="1">
        <v>500</v>
      </c>
      <c r="S19">
        <v>44.576957191379996</v>
      </c>
      <c r="T19">
        <v>44.633887352990001</v>
      </c>
      <c r="U19">
        <v>45.001003055349997</v>
      </c>
      <c r="V19">
        <v>42.17582506307</v>
      </c>
      <c r="W19">
        <v>45.79789734293</v>
      </c>
      <c r="X19" s="1">
        <f t="shared" si="2"/>
        <v>55.582653244028037</v>
      </c>
      <c r="Y19" s="1"/>
      <c r="AA19" s="1">
        <v>500</v>
      </c>
      <c r="AB19">
        <v>45.656495337419997</v>
      </c>
      <c r="AC19">
        <v>44.115765325200002</v>
      </c>
      <c r="AD19">
        <v>44.257854975329998</v>
      </c>
      <c r="AE19">
        <v>38.183799466499998</v>
      </c>
      <c r="AF19">
        <v>43.07816527053</v>
      </c>
      <c r="AG19" s="1">
        <f t="shared" si="3"/>
        <v>54.651969106363467</v>
      </c>
      <c r="AH19" s="1"/>
      <c r="AJ19" s="1">
        <v>500</v>
      </c>
      <c r="AK19">
        <v>31.08033365212</v>
      </c>
      <c r="AL19">
        <v>28.066225370480002</v>
      </c>
      <c r="AM19">
        <v>31.215545374080001</v>
      </c>
      <c r="AN19">
        <v>33.697679899500002</v>
      </c>
      <c r="AO19">
        <v>36.694952058070001</v>
      </c>
      <c r="AP19" s="1">
        <f t="shared" si="4"/>
        <v>44.114278628317095</v>
      </c>
      <c r="AQ19" s="1"/>
      <c r="AS19" s="1">
        <v>500</v>
      </c>
      <c r="AT19">
        <v>27.427778184489998</v>
      </c>
      <c r="AU19">
        <v>32.824443961569997</v>
      </c>
      <c r="AV19">
        <v>32.794481339729998</v>
      </c>
      <c r="AW19">
        <v>30.32556071366</v>
      </c>
      <c r="AX19">
        <v>31.92389487418</v>
      </c>
      <c r="AY19" s="1">
        <f t="shared" si="5"/>
        <v>42.45804815956523</v>
      </c>
      <c r="AZ19" s="1"/>
      <c r="BB19" s="1">
        <v>500</v>
      </c>
      <c r="BC19">
        <v>24.49281351031</v>
      </c>
      <c r="BD19">
        <v>22.525058089920002</v>
      </c>
      <c r="BE19">
        <v>20.5595346715</v>
      </c>
      <c r="BF19">
        <v>18.085736402209999</v>
      </c>
      <c r="BG19">
        <v>19.691273694260001</v>
      </c>
      <c r="BH19" s="1">
        <f t="shared" si="6"/>
        <v>32.64437333715825</v>
      </c>
      <c r="BI19" s="1"/>
      <c r="BK19" s="1">
        <v>500</v>
      </c>
      <c r="BL19">
        <v>35.599954507980001</v>
      </c>
      <c r="BM19">
        <v>37.128259782539999</v>
      </c>
      <c r="BN19">
        <v>36.729446637469998</v>
      </c>
      <c r="BO19">
        <v>31.77050222638</v>
      </c>
      <c r="BP19">
        <v>34.548982533790003</v>
      </c>
      <c r="BQ19" s="1">
        <f t="shared" si="7"/>
        <v>46.520161748609496</v>
      </c>
      <c r="BR19" s="1"/>
    </row>
    <row r="20" spans="1:70" x14ac:dyDescent="0.25">
      <c r="A20" s="1">
        <v>630</v>
      </c>
      <c r="B20" s="1">
        <v>59.307028273829999</v>
      </c>
      <c r="C20" s="1">
        <v>57.131603657600003</v>
      </c>
      <c r="D20" s="1">
        <v>58.579716641579999</v>
      </c>
      <c r="E20" s="1">
        <v>60.72497805714</v>
      </c>
      <c r="F20" s="1">
        <v>58.522445328830003</v>
      </c>
      <c r="G20" s="1">
        <f t="shared" si="0"/>
        <v>70.005016847279052</v>
      </c>
      <c r="I20" s="1">
        <v>630</v>
      </c>
      <c r="J20">
        <v>33.169809853659999</v>
      </c>
      <c r="K20">
        <v>33.488706128380002</v>
      </c>
      <c r="L20">
        <v>31.941648777249998</v>
      </c>
      <c r="M20">
        <v>36.865706465579997</v>
      </c>
      <c r="N20">
        <v>32.87241087788</v>
      </c>
      <c r="O20" s="1">
        <f t="shared" si="1"/>
        <v>45.029559253364354</v>
      </c>
      <c r="P20" s="1"/>
      <c r="R20" s="1">
        <v>630</v>
      </c>
      <c r="S20">
        <v>48.959997945879998</v>
      </c>
      <c r="T20">
        <v>46.218034424400003</v>
      </c>
      <c r="U20">
        <v>45.06835663263</v>
      </c>
      <c r="V20">
        <v>50.069763716159997</v>
      </c>
      <c r="W20">
        <v>47.697725510639998</v>
      </c>
      <c r="X20" s="1">
        <f t="shared" si="2"/>
        <v>58.960092929916755</v>
      </c>
      <c r="Y20" s="1"/>
      <c r="AA20" s="1">
        <v>630</v>
      </c>
      <c r="AB20">
        <v>43.631396945189998</v>
      </c>
      <c r="AC20">
        <v>36.967397312449997</v>
      </c>
      <c r="AD20">
        <v>37.221964762200002</v>
      </c>
      <c r="AE20">
        <v>42.74611654548</v>
      </c>
      <c r="AF20">
        <v>44.25726493837</v>
      </c>
      <c r="AG20" s="1">
        <f t="shared" si="3"/>
        <v>52.967408224661128</v>
      </c>
      <c r="AH20" s="1"/>
      <c r="AJ20" s="1">
        <v>630</v>
      </c>
      <c r="AK20">
        <v>43.384064797939999</v>
      </c>
      <c r="AL20">
        <v>38.819021594829998</v>
      </c>
      <c r="AM20">
        <v>45.825379401630002</v>
      </c>
      <c r="AN20">
        <v>46.380319758650003</v>
      </c>
      <c r="AO20">
        <v>44.464080978330003</v>
      </c>
      <c r="AP20" s="1">
        <f t="shared" si="4"/>
        <v>55.434553342869435</v>
      </c>
      <c r="AQ20" s="1"/>
      <c r="AS20" s="1">
        <v>630</v>
      </c>
      <c r="AT20">
        <v>32.604309649809998</v>
      </c>
      <c r="AU20">
        <v>27.804992388260001</v>
      </c>
      <c r="AV20">
        <v>30.262874106889999</v>
      </c>
      <c r="AW20">
        <v>30.431097384619999</v>
      </c>
      <c r="AX20">
        <v>26.997645320829999</v>
      </c>
      <c r="AY20" s="1">
        <f t="shared" si="5"/>
        <v>41.071650785468933</v>
      </c>
      <c r="AZ20" s="1"/>
      <c r="BB20" s="1">
        <v>630</v>
      </c>
      <c r="BC20">
        <v>40.542394970559997</v>
      </c>
      <c r="BD20">
        <v>40.801078396420003</v>
      </c>
      <c r="BE20">
        <v>41.380824354730002</v>
      </c>
      <c r="BF20">
        <v>39.014350040090001</v>
      </c>
      <c r="BG20">
        <v>38.059896319410001</v>
      </c>
      <c r="BH20" s="1">
        <f t="shared" si="6"/>
        <v>51.11757541592948</v>
      </c>
      <c r="BI20" s="1"/>
      <c r="BK20" s="1">
        <v>630</v>
      </c>
      <c r="BL20">
        <v>29.532365952999999</v>
      </c>
      <c r="BM20">
        <v>26.825774875960001</v>
      </c>
      <c r="BN20">
        <v>25.146830471960001</v>
      </c>
      <c r="BO20">
        <v>28.07030353099</v>
      </c>
      <c r="BP20">
        <v>30.403493459170001</v>
      </c>
      <c r="BQ20" s="1">
        <f t="shared" si="7"/>
        <v>39.374434340427186</v>
      </c>
      <c r="BR20" s="1"/>
    </row>
    <row r="21" spans="1:70" x14ac:dyDescent="0.25">
      <c r="A21" s="1">
        <v>800</v>
      </c>
      <c r="B21" s="1">
        <v>56.607469002789998</v>
      </c>
      <c r="C21" s="1">
        <v>56.365485901100001</v>
      </c>
      <c r="D21" s="1">
        <v>56.860826699249998</v>
      </c>
      <c r="E21" s="1">
        <v>56.720029317920002</v>
      </c>
      <c r="F21" s="1">
        <v>57.321879482980002</v>
      </c>
      <c r="G21" s="1">
        <f t="shared" si="0"/>
        <v>67.779026188829079</v>
      </c>
      <c r="I21" s="1">
        <v>800</v>
      </c>
      <c r="J21">
        <v>32.063599086510003</v>
      </c>
      <c r="K21">
        <v>32.310046564879997</v>
      </c>
      <c r="L21">
        <v>29.0022436464</v>
      </c>
      <c r="M21">
        <v>28.633486050649999</v>
      </c>
      <c r="N21">
        <v>32.727065982969997</v>
      </c>
      <c r="O21" s="1">
        <f t="shared" si="1"/>
        <v>42.26895092818004</v>
      </c>
      <c r="P21" s="1"/>
      <c r="R21" s="1">
        <v>800</v>
      </c>
      <c r="S21">
        <v>46.404558601410002</v>
      </c>
      <c r="T21">
        <v>47.603975722980003</v>
      </c>
      <c r="U21">
        <v>47.115010367879997</v>
      </c>
      <c r="V21">
        <v>47.671345965290001</v>
      </c>
      <c r="W21">
        <v>43.572844348319997</v>
      </c>
      <c r="X21" s="1">
        <f t="shared" si="2"/>
        <v>57.694943950898747</v>
      </c>
      <c r="Y21" s="1"/>
      <c r="AA21" s="1">
        <v>800</v>
      </c>
      <c r="AB21">
        <v>47.231060640830002</v>
      </c>
      <c r="AC21">
        <v>45.32890629592</v>
      </c>
      <c r="AD21">
        <v>39.931911588239998</v>
      </c>
      <c r="AE21">
        <v>42.47691348195</v>
      </c>
      <c r="AF21">
        <v>42.346012323380002</v>
      </c>
      <c r="AG21" s="1">
        <f t="shared" si="3"/>
        <v>55.19708246682768</v>
      </c>
      <c r="AH21" s="1"/>
      <c r="AJ21" s="1">
        <v>800</v>
      </c>
      <c r="AK21">
        <v>47.92773036981</v>
      </c>
      <c r="AL21">
        <v>46.295414653629997</v>
      </c>
      <c r="AM21">
        <v>46.035860653279997</v>
      </c>
      <c r="AN21">
        <v>45.389988985030001</v>
      </c>
      <c r="AO21">
        <v>48.835558046000003</v>
      </c>
      <c r="AP21" s="1">
        <f t="shared" si="4"/>
        <v>58.082820597686577</v>
      </c>
      <c r="AQ21" s="1"/>
      <c r="AS21" s="1">
        <v>800</v>
      </c>
      <c r="AT21">
        <v>39.23631193256</v>
      </c>
      <c r="AU21">
        <v>40.478675704760001</v>
      </c>
      <c r="AV21">
        <v>41.072388086140002</v>
      </c>
      <c r="AW21">
        <v>35.884185482489997</v>
      </c>
      <c r="AX21">
        <v>39.248335326179998</v>
      </c>
      <c r="AY21" s="1">
        <f t="shared" si="5"/>
        <v>50.499697739620117</v>
      </c>
      <c r="AZ21" s="1"/>
      <c r="BB21" s="1">
        <v>800</v>
      </c>
      <c r="BC21">
        <v>39.377827497509998</v>
      </c>
      <c r="BD21">
        <v>40.127703906770002</v>
      </c>
      <c r="BE21">
        <v>40.278938728710003</v>
      </c>
      <c r="BF21">
        <v>34.70588787845</v>
      </c>
      <c r="BG21">
        <v>38.624692497780003</v>
      </c>
      <c r="BH21" s="1">
        <f t="shared" si="6"/>
        <v>50.008635685905034</v>
      </c>
      <c r="BI21" s="1"/>
      <c r="BK21" s="1">
        <v>800</v>
      </c>
      <c r="BL21">
        <v>37.833231830450003</v>
      </c>
      <c r="BM21">
        <v>32.344603314700002</v>
      </c>
      <c r="BN21">
        <v>32.82748068395</v>
      </c>
      <c r="BO21">
        <v>32.291850374779997</v>
      </c>
      <c r="BP21">
        <v>35.692671102570003</v>
      </c>
      <c r="BQ21" s="1">
        <f t="shared" si="7"/>
        <v>45.794858913661784</v>
      </c>
      <c r="BR21" s="1"/>
    </row>
    <row r="22" spans="1:70" x14ac:dyDescent="0.25">
      <c r="A22" s="1">
        <v>1000</v>
      </c>
      <c r="B22" s="1">
        <v>64.935455105220001</v>
      </c>
      <c r="C22" s="1">
        <v>65.040594420679994</v>
      </c>
      <c r="D22" s="1">
        <v>65.046157047799994</v>
      </c>
      <c r="E22" s="1">
        <v>62.821946839859997</v>
      </c>
      <c r="F22" s="1">
        <v>64.268513066520001</v>
      </c>
      <c r="G22" s="1">
        <f t="shared" si="0"/>
        <v>75.491777741485308</v>
      </c>
      <c r="I22" s="1">
        <v>1000</v>
      </c>
      <c r="J22">
        <v>34.823465710199997</v>
      </c>
      <c r="K22">
        <v>29.832987574819999</v>
      </c>
      <c r="L22">
        <v>38.223102796440003</v>
      </c>
      <c r="M22">
        <v>30.555988711280001</v>
      </c>
      <c r="N22">
        <v>40.363048065160001</v>
      </c>
      <c r="O22" s="1">
        <f t="shared" si="1"/>
        <v>47.552931607684911</v>
      </c>
      <c r="P22" s="1"/>
      <c r="R22" s="1">
        <v>1000</v>
      </c>
      <c r="S22">
        <v>47.06283717446</v>
      </c>
      <c r="T22">
        <v>50.659822238799997</v>
      </c>
      <c r="U22">
        <v>53.586394355160003</v>
      </c>
      <c r="V22">
        <v>52.187927639889999</v>
      </c>
      <c r="W22">
        <v>42.511616767779998</v>
      </c>
      <c r="X22" s="1">
        <f t="shared" si="2"/>
        <v>61.62885135119393</v>
      </c>
      <c r="Y22" s="1"/>
      <c r="AA22" s="1">
        <v>1000</v>
      </c>
      <c r="AB22">
        <v>53.351540002699998</v>
      </c>
      <c r="AC22">
        <v>50.565521469529997</v>
      </c>
      <c r="AD22">
        <v>38.280793415989997</v>
      </c>
      <c r="AE22">
        <v>47.11412537615</v>
      </c>
      <c r="AF22">
        <v>49.649292058219999</v>
      </c>
      <c r="AG22" s="1">
        <f t="shared" si="3"/>
        <v>60.820980164735403</v>
      </c>
      <c r="AH22" s="1"/>
      <c r="AJ22" s="1">
        <v>1000</v>
      </c>
      <c r="AK22">
        <v>43.328835916119999</v>
      </c>
      <c r="AL22">
        <v>42.391019606450001</v>
      </c>
      <c r="AM22">
        <v>43.472472185420003</v>
      </c>
      <c r="AN22">
        <v>46.403200457849998</v>
      </c>
      <c r="AO22">
        <v>45.561703423220003</v>
      </c>
      <c r="AP22" s="1">
        <f t="shared" si="4"/>
        <v>55.487892339078542</v>
      </c>
      <c r="AQ22" s="1"/>
      <c r="AS22" s="1">
        <v>1000</v>
      </c>
      <c r="AT22">
        <v>40.876817656439997</v>
      </c>
      <c r="AU22">
        <v>40.438259748909999</v>
      </c>
      <c r="AV22">
        <v>40.502313379599997</v>
      </c>
      <c r="AW22">
        <v>37.287882147090002</v>
      </c>
      <c r="AX22">
        <v>38.726943496899999</v>
      </c>
      <c r="AY22" s="1">
        <f t="shared" si="5"/>
        <v>50.754658145210342</v>
      </c>
      <c r="AZ22" s="1"/>
      <c r="BB22" s="1">
        <v>1000</v>
      </c>
      <c r="BC22">
        <v>38.498138227109997</v>
      </c>
      <c r="BD22">
        <v>34.601987228859997</v>
      </c>
      <c r="BE22">
        <v>36.598124400789999</v>
      </c>
      <c r="BF22">
        <v>35.737342133689999</v>
      </c>
      <c r="BG22">
        <v>34.178155538219997</v>
      </c>
      <c r="BH22" s="1">
        <f t="shared" si="6"/>
        <v>47.202861958393527</v>
      </c>
      <c r="BI22" s="1"/>
      <c r="BK22" s="1">
        <v>1000</v>
      </c>
      <c r="BL22">
        <v>44.272429054249997</v>
      </c>
      <c r="BM22">
        <v>43.586022981360003</v>
      </c>
      <c r="BN22">
        <v>42.745982893990004</v>
      </c>
      <c r="BO22">
        <v>38.523669314110002</v>
      </c>
      <c r="BP22">
        <v>40.628774725790002</v>
      </c>
      <c r="BQ22" s="1">
        <f t="shared" si="7"/>
        <v>53.401341886837159</v>
      </c>
      <c r="BR22" s="1"/>
    </row>
    <row r="23" spans="1:70" x14ac:dyDescent="0.25">
      <c r="A23" s="1">
        <v>1250</v>
      </c>
      <c r="B23" s="1">
        <v>68.174977972560001</v>
      </c>
      <c r="C23" s="1">
        <v>66.181118938490002</v>
      </c>
      <c r="D23" s="1">
        <v>66.971832569900002</v>
      </c>
      <c r="E23" s="1">
        <v>65.919561853009995</v>
      </c>
      <c r="F23" s="1">
        <v>67.041044994849997</v>
      </c>
      <c r="G23" s="1">
        <f t="shared" si="0"/>
        <v>77.923480528799871</v>
      </c>
      <c r="I23" s="1">
        <v>1250</v>
      </c>
      <c r="J23">
        <v>43.599297644479996</v>
      </c>
      <c r="K23">
        <v>43.034026344529998</v>
      </c>
      <c r="L23">
        <v>46.616615169649997</v>
      </c>
      <c r="M23">
        <v>42.393802089360001</v>
      </c>
      <c r="N23">
        <v>42.017897245459999</v>
      </c>
      <c r="O23" s="1">
        <f t="shared" si="1"/>
        <v>54.87190805776028</v>
      </c>
      <c r="P23" s="1"/>
      <c r="R23" s="1">
        <v>1250</v>
      </c>
      <c r="S23">
        <v>50.345341449049997</v>
      </c>
      <c r="T23">
        <v>49.616151257209999</v>
      </c>
      <c r="U23">
        <v>53.282235843290003</v>
      </c>
      <c r="V23">
        <v>48.407707274010001</v>
      </c>
      <c r="W23">
        <v>47.853451604189999</v>
      </c>
      <c r="X23" s="1">
        <f t="shared" si="2"/>
        <v>61.350788801176847</v>
      </c>
      <c r="Y23" s="1"/>
      <c r="AA23" s="1">
        <v>1250</v>
      </c>
      <c r="AB23">
        <v>44.010451996150003</v>
      </c>
      <c r="AC23">
        <v>48.198018491619997</v>
      </c>
      <c r="AD23">
        <v>42.808747584839999</v>
      </c>
      <c r="AE23">
        <v>47.681982791910002</v>
      </c>
      <c r="AF23">
        <v>52.778862041149999</v>
      </c>
      <c r="AG23" s="1">
        <f t="shared" si="3"/>
        <v>59.5481757236428</v>
      </c>
      <c r="AH23" s="1"/>
      <c r="AJ23" s="1">
        <v>1250</v>
      </c>
      <c r="AK23">
        <v>45.96485510686</v>
      </c>
      <c r="AL23">
        <v>46.300055833320002</v>
      </c>
      <c r="AM23">
        <v>42.499690824010003</v>
      </c>
      <c r="AN23">
        <v>43.336575727549999</v>
      </c>
      <c r="AO23">
        <v>45.033556054969999</v>
      </c>
      <c r="AP23" s="1">
        <f t="shared" si="4"/>
        <v>55.859473635773924</v>
      </c>
      <c r="AQ23" s="1"/>
      <c r="AS23" s="1">
        <v>1250</v>
      </c>
      <c r="AT23">
        <v>41.716077619309999</v>
      </c>
      <c r="AU23">
        <v>44.945548991400003</v>
      </c>
      <c r="AV23">
        <v>42.02276832922</v>
      </c>
      <c r="AW23">
        <v>40.386307055069999</v>
      </c>
      <c r="AX23">
        <v>44.017929672240001</v>
      </c>
      <c r="AY23" s="1">
        <f t="shared" si="5"/>
        <v>53.921744072516603</v>
      </c>
      <c r="AZ23" s="1"/>
      <c r="BB23" s="1">
        <v>1250</v>
      </c>
      <c r="BC23">
        <v>48.007607225080001</v>
      </c>
      <c r="BD23">
        <v>41.750807820520002</v>
      </c>
      <c r="BE23">
        <v>47.419414564610001</v>
      </c>
      <c r="BF23">
        <v>46.914757854549997</v>
      </c>
      <c r="BG23">
        <v>47.265739286959999</v>
      </c>
      <c r="BH23" s="1">
        <f t="shared" si="6"/>
        <v>57.727792092687068</v>
      </c>
      <c r="BI23" s="1"/>
      <c r="BK23" s="1">
        <v>1250</v>
      </c>
      <c r="BL23">
        <v>45.65296963019</v>
      </c>
      <c r="BM23">
        <v>45.91434997623</v>
      </c>
      <c r="BN23">
        <v>41.42406052858</v>
      </c>
      <c r="BO23">
        <v>43.429533406269996</v>
      </c>
      <c r="BP23">
        <v>42.229432901019997</v>
      </c>
      <c r="BQ23" s="1">
        <f t="shared" si="7"/>
        <v>55.088142884034724</v>
      </c>
      <c r="BR23" s="1"/>
    </row>
    <row r="24" spans="1:70" x14ac:dyDescent="0.25">
      <c r="A24" s="1">
        <v>1600</v>
      </c>
      <c r="B24" s="1">
        <v>69.464785120360006</v>
      </c>
      <c r="C24" s="1">
        <v>68.608598006400001</v>
      </c>
      <c r="D24" s="1">
        <v>69.773600882110003</v>
      </c>
      <c r="E24" s="1">
        <v>69.689497516369997</v>
      </c>
      <c r="F24" s="1">
        <v>68.32193572157</v>
      </c>
      <c r="G24" s="1">
        <f t="shared" si="0"/>
        <v>80.203380824181309</v>
      </c>
      <c r="I24" s="1">
        <v>1600</v>
      </c>
      <c r="J24">
        <v>42.970258670360003</v>
      </c>
      <c r="K24">
        <v>48.020068324089998</v>
      </c>
      <c r="L24">
        <v>50.440566513340002</v>
      </c>
      <c r="M24">
        <v>48.413764134879997</v>
      </c>
      <c r="N24">
        <v>44.343697843539999</v>
      </c>
      <c r="O24" s="1">
        <f t="shared" si="1"/>
        <v>58.633433467067675</v>
      </c>
      <c r="P24" s="1"/>
      <c r="R24" s="1">
        <v>1600</v>
      </c>
      <c r="S24">
        <v>57.130920293290004</v>
      </c>
      <c r="T24">
        <v>52.703036095880002</v>
      </c>
      <c r="U24">
        <v>62.712324755929998</v>
      </c>
      <c r="V24">
        <v>54.644671697500002</v>
      </c>
      <c r="W24">
        <v>52.635311586390003</v>
      </c>
      <c r="X24" s="1">
        <f t="shared" si="2"/>
        <v>68.838391987977047</v>
      </c>
      <c r="Y24" s="1"/>
      <c r="AA24" s="1">
        <v>1600</v>
      </c>
      <c r="AB24">
        <v>62.07328571155</v>
      </c>
      <c r="AC24">
        <v>59.687712138439998</v>
      </c>
      <c r="AD24">
        <v>60.8361617905</v>
      </c>
      <c r="AE24">
        <v>59.621851880240001</v>
      </c>
      <c r="AF24">
        <v>60.1259897232</v>
      </c>
      <c r="AG24" s="1">
        <f t="shared" si="3"/>
        <v>71.5617912820979</v>
      </c>
      <c r="AH24" s="1"/>
      <c r="AJ24" s="1">
        <v>1600</v>
      </c>
      <c r="AK24">
        <v>46.662528173799998</v>
      </c>
      <c r="AL24">
        <v>48.041864011370002</v>
      </c>
      <c r="AM24">
        <v>48.070153304660003</v>
      </c>
      <c r="AN24">
        <v>42.602352834789997</v>
      </c>
      <c r="AO24">
        <v>48.596570747640001</v>
      </c>
      <c r="AP24" s="1">
        <f t="shared" si="4"/>
        <v>58.231497629995815</v>
      </c>
      <c r="AQ24" s="1"/>
      <c r="AS24" s="1">
        <v>1600</v>
      </c>
      <c r="AT24">
        <v>46.240451979070002</v>
      </c>
      <c r="AU24">
        <v>40.359558242440002</v>
      </c>
      <c r="AV24">
        <v>44.508035519940002</v>
      </c>
      <c r="AW24">
        <v>42.459802137410001</v>
      </c>
      <c r="AX24">
        <v>44.337910309500003</v>
      </c>
      <c r="AY24" s="1">
        <f t="shared" si="5"/>
        <v>55.004259641357095</v>
      </c>
      <c r="AZ24" s="1"/>
      <c r="BB24" s="1">
        <v>1600</v>
      </c>
      <c r="BC24">
        <v>51.376887725720003</v>
      </c>
      <c r="BD24">
        <v>57.467723104080001</v>
      </c>
      <c r="BE24">
        <v>62.533661552380003</v>
      </c>
      <c r="BF24">
        <v>58.397858484590003</v>
      </c>
      <c r="BG24">
        <v>53.04959526108</v>
      </c>
      <c r="BH24" s="1">
        <f t="shared" si="6"/>
        <v>69.292731023497211</v>
      </c>
      <c r="BI24" s="1"/>
      <c r="BK24" s="1">
        <v>1600</v>
      </c>
      <c r="BL24">
        <v>45.499988536479997</v>
      </c>
      <c r="BM24">
        <v>41.462692410620001</v>
      </c>
      <c r="BN24">
        <v>37.589877954160002</v>
      </c>
      <c r="BO24">
        <v>40.508704514169999</v>
      </c>
      <c r="BP24">
        <v>42.984845994570001</v>
      </c>
      <c r="BQ24" s="1">
        <f t="shared" si="7"/>
        <v>53.365153776545426</v>
      </c>
      <c r="BR24" s="1"/>
    </row>
    <row r="25" spans="1:70" x14ac:dyDescent="0.25">
      <c r="A25" s="1">
        <v>2000</v>
      </c>
      <c r="B25" s="1">
        <v>70.683802272329999</v>
      </c>
      <c r="C25" s="1">
        <v>70.428751744099998</v>
      </c>
      <c r="D25" s="1">
        <v>71.705157401459999</v>
      </c>
      <c r="E25" s="1">
        <v>70.308663357130001</v>
      </c>
      <c r="F25" s="1">
        <v>69.865785721750001</v>
      </c>
      <c r="G25" s="1">
        <f t="shared" si="0"/>
        <v>81.635464271746343</v>
      </c>
      <c r="I25" s="1">
        <v>2000</v>
      </c>
      <c r="J25">
        <v>48.604103485240003</v>
      </c>
      <c r="K25">
        <v>44.087126579539998</v>
      </c>
      <c r="L25">
        <v>43.353446903630001</v>
      </c>
      <c r="M25">
        <v>43.823042698510001</v>
      </c>
      <c r="N25">
        <v>40.394100755769998</v>
      </c>
      <c r="O25" s="1">
        <f t="shared" si="1"/>
        <v>55.901515054739491</v>
      </c>
      <c r="P25" s="1"/>
      <c r="R25" s="1">
        <v>2000</v>
      </c>
      <c r="S25">
        <v>56.121965659899999</v>
      </c>
      <c r="T25">
        <v>58.828424025719997</v>
      </c>
      <c r="U25">
        <v>58.573157183760003</v>
      </c>
      <c r="V25">
        <v>59.462442952670003</v>
      </c>
      <c r="W25">
        <v>54.869828405889997</v>
      </c>
      <c r="X25" s="1">
        <f t="shared" si="2"/>
        <v>68.892758728216506</v>
      </c>
      <c r="Y25" s="1"/>
      <c r="AA25" s="1">
        <v>2000</v>
      </c>
      <c r="AB25">
        <v>58.418087005689998</v>
      </c>
      <c r="AC25">
        <v>53.492006014120001</v>
      </c>
      <c r="AD25">
        <v>54.705409740210001</v>
      </c>
      <c r="AE25">
        <v>50.002632253069997</v>
      </c>
      <c r="AF25">
        <v>55.755570534119997</v>
      </c>
      <c r="AG25" s="1">
        <f t="shared" si="3"/>
        <v>66.281388564482768</v>
      </c>
      <c r="AH25" s="1"/>
      <c r="AJ25" s="1">
        <v>2000</v>
      </c>
      <c r="AK25">
        <v>44.649926792789998</v>
      </c>
      <c r="AL25">
        <v>44.402649080570001</v>
      </c>
      <c r="AM25">
        <v>48.310847948389998</v>
      </c>
      <c r="AN25">
        <v>44.970746709540002</v>
      </c>
      <c r="AO25">
        <v>46.405294212290002</v>
      </c>
      <c r="AP25" s="1">
        <f t="shared" si="4"/>
        <v>57.004560268667575</v>
      </c>
      <c r="AQ25" s="1"/>
      <c r="AS25" s="1">
        <v>2000</v>
      </c>
      <c r="AT25">
        <v>42.169876279050001</v>
      </c>
      <c r="AU25">
        <v>36.445408793049999</v>
      </c>
      <c r="AV25">
        <v>42.051372676349999</v>
      </c>
      <c r="AW25">
        <v>43.011222643339998</v>
      </c>
      <c r="AX25">
        <v>42.075076547530003</v>
      </c>
      <c r="AY25" s="1">
        <f t="shared" si="5"/>
        <v>52.639151250001817</v>
      </c>
      <c r="AZ25" s="1"/>
      <c r="BB25" s="1">
        <v>2000</v>
      </c>
      <c r="BC25">
        <v>50.295591080409999</v>
      </c>
      <c r="BD25">
        <v>54.398160319440002</v>
      </c>
      <c r="BE25">
        <v>57.749160362490002</v>
      </c>
      <c r="BF25">
        <v>52.925108885939999</v>
      </c>
      <c r="BG25">
        <v>49.46442611826</v>
      </c>
      <c r="BH25" s="1">
        <f t="shared" si="6"/>
        <v>65.014401117106615</v>
      </c>
      <c r="BI25" s="1"/>
      <c r="BK25" s="1">
        <v>2000</v>
      </c>
      <c r="BL25">
        <v>38.013074536749997</v>
      </c>
      <c r="BM25">
        <v>35.538392954149998</v>
      </c>
      <c r="BN25">
        <v>34.222437618960001</v>
      </c>
      <c r="BO25">
        <v>35.622759830610001</v>
      </c>
      <c r="BP25">
        <v>37.63806484637</v>
      </c>
      <c r="BQ25" s="1">
        <f t="shared" si="7"/>
        <v>47.428015734119157</v>
      </c>
      <c r="BR25" s="1"/>
    </row>
    <row r="26" spans="1:70" x14ac:dyDescent="0.25">
      <c r="A26" s="1">
        <v>2500</v>
      </c>
      <c r="B26" s="1">
        <v>67.69713113137</v>
      </c>
      <c r="C26" s="1">
        <v>71.664573426800004</v>
      </c>
      <c r="D26" s="1">
        <v>72.601163275540003</v>
      </c>
      <c r="E26" s="1">
        <v>71.178142767889995</v>
      </c>
      <c r="F26" s="1">
        <v>70.238838455850001</v>
      </c>
      <c r="G26" s="1">
        <f t="shared" si="0"/>
        <v>81.95696416451942</v>
      </c>
      <c r="I26" s="1">
        <v>2500</v>
      </c>
      <c r="J26">
        <v>45.447945139150001</v>
      </c>
      <c r="K26">
        <v>41.577267255460001</v>
      </c>
      <c r="L26">
        <v>39.046860680599998</v>
      </c>
      <c r="M26">
        <v>40.386569828280003</v>
      </c>
      <c r="N26">
        <v>37.096997611870002</v>
      </c>
      <c r="O26" s="1">
        <f t="shared" si="1"/>
        <v>52.666629724313594</v>
      </c>
      <c r="P26" s="1"/>
      <c r="R26" s="1">
        <v>2500</v>
      </c>
      <c r="S26">
        <v>58.612534350609998</v>
      </c>
      <c r="T26">
        <v>58.275447080089997</v>
      </c>
      <c r="U26">
        <v>56.586378949009998</v>
      </c>
      <c r="V26">
        <v>58.971343848469999</v>
      </c>
      <c r="W26">
        <v>56.892818659489997</v>
      </c>
      <c r="X26" s="1">
        <f t="shared" si="2"/>
        <v>68.961353785250083</v>
      </c>
      <c r="Y26" s="1"/>
      <c r="AA26" s="1">
        <v>2500</v>
      </c>
      <c r="AB26">
        <v>54.73154905645</v>
      </c>
      <c r="AC26">
        <v>56.176282118480003</v>
      </c>
      <c r="AD26">
        <v>52.423917105400001</v>
      </c>
      <c r="AE26">
        <v>57.024712303469997</v>
      </c>
      <c r="AF26">
        <v>53.718314748749997</v>
      </c>
      <c r="AG26" s="1">
        <f t="shared" si="3"/>
        <v>66.113796626793487</v>
      </c>
      <c r="AH26" s="1"/>
      <c r="AJ26" s="1">
        <v>2500</v>
      </c>
      <c r="AK26">
        <v>44.383889803549998</v>
      </c>
      <c r="AL26">
        <v>51.33296723926</v>
      </c>
      <c r="AM26">
        <v>47.542391101089997</v>
      </c>
      <c r="AN26">
        <v>49.593144238770002</v>
      </c>
      <c r="AO26">
        <v>47.85980932575</v>
      </c>
      <c r="AP26" s="1">
        <f t="shared" si="4"/>
        <v>59.711316746853058</v>
      </c>
      <c r="AQ26" s="1"/>
      <c r="AS26" s="1">
        <v>2500</v>
      </c>
      <c r="AT26">
        <v>43.17689997622</v>
      </c>
      <c r="AU26">
        <v>41.248617650509999</v>
      </c>
      <c r="AV26">
        <v>40.314131881270001</v>
      </c>
      <c r="AW26">
        <v>41.205702857680002</v>
      </c>
      <c r="AX26">
        <v>41.578574140260002</v>
      </c>
      <c r="AY26" s="1">
        <f t="shared" si="5"/>
        <v>52.602564680239794</v>
      </c>
      <c r="AZ26" s="1"/>
      <c r="BB26" s="1">
        <v>2500</v>
      </c>
      <c r="BC26">
        <v>58.138920900149998</v>
      </c>
      <c r="BD26">
        <v>63.174998084069998</v>
      </c>
      <c r="BE26">
        <v>59.322905936460003</v>
      </c>
      <c r="BF26">
        <v>61.702146732910002</v>
      </c>
      <c r="BG26">
        <v>58.86773159773</v>
      </c>
      <c r="BH26" s="1">
        <f t="shared" si="6"/>
        <v>71.662620356804823</v>
      </c>
      <c r="BI26" s="1"/>
      <c r="BK26" s="1">
        <v>2500</v>
      </c>
      <c r="BL26">
        <v>40.942700760359998</v>
      </c>
      <c r="BM26">
        <v>41.003013013059999</v>
      </c>
      <c r="BN26">
        <v>40.184229698780001</v>
      </c>
      <c r="BO26">
        <v>37.364865215729999</v>
      </c>
      <c r="BP26">
        <v>40.452532295339999</v>
      </c>
      <c r="BQ26" s="1">
        <f t="shared" si="7"/>
        <v>51.162842592292066</v>
      </c>
      <c r="BR26" s="1"/>
    </row>
    <row r="27" spans="1:70" x14ac:dyDescent="0.25">
      <c r="A27" s="1">
        <v>3150</v>
      </c>
      <c r="B27" s="1">
        <v>70.903507489419994</v>
      </c>
      <c r="C27" s="1">
        <v>72.744976854859999</v>
      </c>
      <c r="D27" s="1">
        <v>73.148041545430004</v>
      </c>
      <c r="E27" s="1">
        <v>72.646867595320003</v>
      </c>
      <c r="F27" s="1">
        <v>71.379611415089997</v>
      </c>
      <c r="G27" s="1">
        <f t="shared" si="0"/>
        <v>83.240301481763495</v>
      </c>
      <c r="I27" s="1">
        <v>3150</v>
      </c>
      <c r="J27">
        <v>38.524271547129999</v>
      </c>
      <c r="K27">
        <v>38.220070049909999</v>
      </c>
      <c r="L27">
        <v>38.333516879960001</v>
      </c>
      <c r="M27">
        <v>40.131720252080001</v>
      </c>
      <c r="N27">
        <v>38.914070207350001</v>
      </c>
      <c r="O27" s="1">
        <f t="shared" si="1"/>
        <v>49.875633136245028</v>
      </c>
      <c r="P27" s="1"/>
      <c r="R27" s="1">
        <v>3150</v>
      </c>
      <c r="S27">
        <v>57.986687860810001</v>
      </c>
      <c r="T27">
        <v>61.143419854219999</v>
      </c>
      <c r="U27">
        <v>65.915309126059995</v>
      </c>
      <c r="V27">
        <v>61.284962359719998</v>
      </c>
      <c r="W27">
        <v>60.031819964870003</v>
      </c>
      <c r="X27" s="1">
        <f t="shared" si="2"/>
        <v>73.13314975540672</v>
      </c>
      <c r="Y27" s="1"/>
      <c r="AA27" s="1">
        <v>3150</v>
      </c>
      <c r="AB27">
        <v>57.808059190900003</v>
      </c>
      <c r="AC27">
        <v>59.020993224980003</v>
      </c>
      <c r="AD27">
        <v>53.273532587710001</v>
      </c>
      <c r="AE27">
        <v>61.211570024149999</v>
      </c>
      <c r="AF27">
        <v>59.91429152301</v>
      </c>
      <c r="AG27" s="1">
        <f t="shared" si="3"/>
        <v>69.931474119824202</v>
      </c>
      <c r="AH27" s="1"/>
      <c r="AJ27" s="1">
        <v>3150</v>
      </c>
      <c r="AK27">
        <v>49.226776667750002</v>
      </c>
      <c r="AL27">
        <v>51.7696879051</v>
      </c>
      <c r="AM27">
        <v>47.101854895069998</v>
      </c>
      <c r="AN27">
        <v>47.990334946970002</v>
      </c>
      <c r="AO27">
        <v>50.554002565780003</v>
      </c>
      <c r="AP27" s="1">
        <f t="shared" si="4"/>
        <v>60.647534467941611</v>
      </c>
      <c r="AQ27" s="1"/>
      <c r="AS27" s="1">
        <v>3150</v>
      </c>
      <c r="AT27">
        <v>41.023083173810001</v>
      </c>
      <c r="AU27">
        <v>38.5325523777</v>
      </c>
      <c r="AV27">
        <v>41.103068379189999</v>
      </c>
      <c r="AW27">
        <v>42.716638113569999</v>
      </c>
      <c r="AX27">
        <v>41.2924010415</v>
      </c>
      <c r="AY27" s="1">
        <f t="shared" si="5"/>
        <v>52.120765643264946</v>
      </c>
      <c r="AZ27" s="1"/>
      <c r="BB27" s="1">
        <v>3150</v>
      </c>
      <c r="BC27">
        <v>55.623730004979997</v>
      </c>
      <c r="BD27">
        <v>56.993985957859998</v>
      </c>
      <c r="BE27">
        <v>53.791372711299999</v>
      </c>
      <c r="BF27">
        <v>57.957361022260002</v>
      </c>
      <c r="BG27">
        <v>56.782723786529999</v>
      </c>
      <c r="BH27" s="1">
        <f t="shared" si="6"/>
        <v>67.43942035557437</v>
      </c>
      <c r="BI27" s="1"/>
      <c r="BK27" s="1">
        <v>3150</v>
      </c>
      <c r="BL27">
        <v>47.102507631740004</v>
      </c>
      <c r="BM27">
        <v>47.893102800050002</v>
      </c>
      <c r="BN27">
        <v>46.020686666229999</v>
      </c>
      <c r="BO27">
        <v>46.308471754579998</v>
      </c>
      <c r="BP27">
        <v>50.129464303299997</v>
      </c>
      <c r="BQ27" s="1">
        <f t="shared" si="7"/>
        <v>58.753956336818717</v>
      </c>
      <c r="BR27" s="1"/>
    </row>
    <row r="28" spans="1:70" x14ac:dyDescent="0.25">
      <c r="A28" s="1">
        <v>4000</v>
      </c>
      <c r="B28" s="1">
        <v>74.871493062699997</v>
      </c>
      <c r="C28" s="1">
        <v>73.760903096869995</v>
      </c>
      <c r="D28" s="1">
        <v>75.974198279920003</v>
      </c>
      <c r="E28" s="1">
        <v>74.102852893090002</v>
      </c>
      <c r="F28" s="1">
        <v>72.763936627760003</v>
      </c>
      <c r="G28" s="1">
        <f t="shared" si="0"/>
        <v>85.422126725280592</v>
      </c>
      <c r="I28" s="1">
        <v>4000</v>
      </c>
      <c r="J28">
        <v>40.617570449639999</v>
      </c>
      <c r="K28">
        <v>43.067740403809999</v>
      </c>
      <c r="L28">
        <v>39.15769203931</v>
      </c>
      <c r="M28">
        <v>37.824550555169999</v>
      </c>
      <c r="N28">
        <v>37.286135709969997</v>
      </c>
      <c r="O28" s="1">
        <f t="shared" si="1"/>
        <v>51.115772948590148</v>
      </c>
      <c r="P28" s="1"/>
      <c r="R28" s="1">
        <v>4000</v>
      </c>
      <c r="S28">
        <v>60.386730469509999</v>
      </c>
      <c r="T28">
        <v>60.116599759510002</v>
      </c>
      <c r="U28">
        <v>58.775736799889998</v>
      </c>
      <c r="V28">
        <v>58.427029658999999</v>
      </c>
      <c r="W28">
        <v>56.141464452889998</v>
      </c>
      <c r="X28" s="1">
        <f t="shared" si="2"/>
        <v>70.00355819221646</v>
      </c>
      <c r="Y28" s="1"/>
      <c r="AA28" s="1">
        <v>4000</v>
      </c>
      <c r="AB28">
        <v>65.756803236760007</v>
      </c>
      <c r="AC28">
        <v>63.310738982350003</v>
      </c>
      <c r="AD28">
        <v>61.885635700420004</v>
      </c>
      <c r="AE28">
        <v>63.778747306100001</v>
      </c>
      <c r="AF28">
        <v>57.8820698436</v>
      </c>
      <c r="AG28" s="1">
        <f t="shared" si="3"/>
        <v>74.194559231425586</v>
      </c>
      <c r="AH28" s="1"/>
      <c r="AJ28" s="1">
        <v>4000</v>
      </c>
      <c r="AK28">
        <v>51.189303487069999</v>
      </c>
      <c r="AL28">
        <v>49.809036540240001</v>
      </c>
      <c r="AM28">
        <v>50.157192781169996</v>
      </c>
      <c r="AN28">
        <v>47.119127666670003</v>
      </c>
      <c r="AO28">
        <v>49.337266392990003</v>
      </c>
      <c r="AP28" s="1">
        <f t="shared" si="4"/>
        <v>60.707131764698957</v>
      </c>
      <c r="AQ28" s="1"/>
      <c r="AS28" s="1">
        <v>4000</v>
      </c>
      <c r="AT28">
        <v>37.006527876130001</v>
      </c>
      <c r="AU28">
        <v>38.368154119110002</v>
      </c>
      <c r="AV28">
        <v>39.692257809680001</v>
      </c>
      <c r="AW28">
        <v>34.277141484520001</v>
      </c>
      <c r="AX28">
        <v>38.377027314129997</v>
      </c>
      <c r="AY28" s="1">
        <f t="shared" si="5"/>
        <v>48.882588478200105</v>
      </c>
      <c r="AZ28" s="1"/>
      <c r="BB28" s="1">
        <v>4000</v>
      </c>
      <c r="BC28">
        <v>58.221120721360002</v>
      </c>
      <c r="BD28">
        <v>58.978805147160003</v>
      </c>
      <c r="BE28">
        <v>60.693524708129999</v>
      </c>
      <c r="BF28">
        <v>58.459382280840003</v>
      </c>
      <c r="BG28">
        <v>57.391402644289997</v>
      </c>
      <c r="BH28" s="1">
        <f t="shared" si="6"/>
        <v>69.887728716471756</v>
      </c>
      <c r="BI28" s="1"/>
      <c r="BK28" s="1">
        <v>4000</v>
      </c>
      <c r="BL28">
        <v>51.443112921939999</v>
      </c>
      <c r="BM28">
        <v>51.123967199479999</v>
      </c>
      <c r="BN28">
        <v>51.564408446350001</v>
      </c>
      <c r="BO28">
        <v>50.931917657660001</v>
      </c>
      <c r="BP28">
        <v>48.2754549267</v>
      </c>
      <c r="BQ28" s="1">
        <f t="shared" si="7"/>
        <v>61.809022525571336</v>
      </c>
      <c r="BR28" s="1"/>
    </row>
  </sheetData>
  <mergeCells count="71">
    <mergeCell ref="A1:G2"/>
    <mergeCell ref="A3:A4"/>
    <mergeCell ref="B3:B4"/>
    <mergeCell ref="C3:C4"/>
    <mergeCell ref="D3:D4"/>
    <mergeCell ref="E3:E4"/>
    <mergeCell ref="F3:F4"/>
    <mergeCell ref="G3:G4"/>
    <mergeCell ref="I1:P2"/>
    <mergeCell ref="I3:I4"/>
    <mergeCell ref="J3:J4"/>
    <mergeCell ref="K3:K4"/>
    <mergeCell ref="L3:L4"/>
    <mergeCell ref="M3:M4"/>
    <mergeCell ref="N3:N4"/>
    <mergeCell ref="O3:O4"/>
    <mergeCell ref="P3:P4"/>
    <mergeCell ref="R1:Y2"/>
    <mergeCell ref="R3:R4"/>
    <mergeCell ref="S3:S4"/>
    <mergeCell ref="T3:T4"/>
    <mergeCell ref="U3:U4"/>
    <mergeCell ref="V3:V4"/>
    <mergeCell ref="W3:W4"/>
    <mergeCell ref="X3:X4"/>
    <mergeCell ref="Y3:Y4"/>
    <mergeCell ref="AA1:AH2"/>
    <mergeCell ref="AA3:AA4"/>
    <mergeCell ref="AB3:AB4"/>
    <mergeCell ref="AC3:AC4"/>
    <mergeCell ref="AD3:AD4"/>
    <mergeCell ref="AE3:AE4"/>
    <mergeCell ref="AF3:AF4"/>
    <mergeCell ref="AG3:AG4"/>
    <mergeCell ref="AH3:AH4"/>
    <mergeCell ref="AJ1:AQ2"/>
    <mergeCell ref="AJ3:AJ4"/>
    <mergeCell ref="AK3:AK4"/>
    <mergeCell ref="AL3:AL4"/>
    <mergeCell ref="AM3:AM4"/>
    <mergeCell ref="AN3:AN4"/>
    <mergeCell ref="AO3:AO4"/>
    <mergeCell ref="AP3:AP4"/>
    <mergeCell ref="AQ3:AQ4"/>
    <mergeCell ref="AS1:AZ2"/>
    <mergeCell ref="AS3:AS4"/>
    <mergeCell ref="AT3:AT4"/>
    <mergeCell ref="AU3:AU4"/>
    <mergeCell ref="AV3:AV4"/>
    <mergeCell ref="AW3:AW4"/>
    <mergeCell ref="AX3:AX4"/>
    <mergeCell ref="AY3:AY4"/>
    <mergeCell ref="AZ3:AZ4"/>
    <mergeCell ref="BB1:BI2"/>
    <mergeCell ref="BB3:BB4"/>
    <mergeCell ref="BC3:BC4"/>
    <mergeCell ref="BD3:BD4"/>
    <mergeCell ref="BE3:BE4"/>
    <mergeCell ref="BF3:BF4"/>
    <mergeCell ref="BG3:BG4"/>
    <mergeCell ref="BH3:BH4"/>
    <mergeCell ref="BI3:BI4"/>
    <mergeCell ref="BK1:BR2"/>
    <mergeCell ref="BK3:BK4"/>
    <mergeCell ref="BL3:BL4"/>
    <mergeCell ref="BM3:BM4"/>
    <mergeCell ref="BN3:BN4"/>
    <mergeCell ref="BO3:BO4"/>
    <mergeCell ref="BP3:BP4"/>
    <mergeCell ref="BQ3:BQ4"/>
    <mergeCell ref="BR3:B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Junk</vt:lpstr>
      <vt:lpstr>2025 May 5th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Stiles, Jarret C.</dc:creator>
  <cp:lastModifiedBy>Herrin, David W.</cp:lastModifiedBy>
  <dcterms:created xsi:type="dcterms:W3CDTF">2025-05-05T19:21:23Z</dcterms:created>
  <dcterms:modified xsi:type="dcterms:W3CDTF">2025-05-05T19:46:04Z</dcterms:modified>
</cp:coreProperties>
</file>